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AppData\Local\Temp\claude\c--Users-user-AX-VS-CODE-study-EX\a3ebdc17-2d21-4958-a78e-fe5b775786e7\scratchpad\"/>
    </mc:Choice>
  </mc:AlternateContent>
  <xr:revisionPtr revIDLastSave="0" documentId="8_{7398E338-17A2-4D0E-A5BA-4B500D11CFA0}" xr6:coauthVersionLast="36" xr6:coauthVersionMax="36" xr10:uidLastSave="{00000000-0000-0000-0000-000000000000}"/>
  <bookViews>
    <workbookView xWindow="0" yWindow="0" windowWidth="23040" windowHeight="11184" xr2:uid="{00000000-000D-0000-FFFF-FFFF00000000}"/>
  </bookViews>
  <sheets>
    <sheet name="기본작업-1" sheetId="1" r:id="rId1"/>
    <sheet name="기본작업-2" sheetId="2" r:id="rId2"/>
    <sheet name="기본작업-3" sheetId="3" r:id="rId3"/>
    <sheet name="계산작업" sheetId="4" r:id="rId4"/>
    <sheet name="분석작업-1" sheetId="5" r:id="rId5"/>
    <sheet name="분석작업-2" sheetId="6" r:id="rId6"/>
    <sheet name="기타작업-1" sheetId="7" r:id="rId7"/>
    <sheet name="기타작업-2" sheetId="8" r:id="rId8"/>
  </sheets>
  <definedNames>
    <definedName name="저자">'기본작업-2'!$D$4:$D$15</definedName>
  </definedNames>
  <calcPr calcId="191029"/>
  <pivotCaches>
    <pivotCache cacheId="3" r:id="rId9"/>
  </pivotCaches>
</workbook>
</file>

<file path=xl/calcChain.xml><?xml version="1.0" encoding="utf-8"?>
<calcChain xmlns="http://schemas.openxmlformats.org/spreadsheetml/2006/main">
  <c r="E4" i="7" l="1"/>
  <c r="E5" i="7"/>
  <c r="E6" i="7"/>
  <c r="E7" i="7"/>
  <c r="E8" i="7"/>
  <c r="E9" i="7"/>
  <c r="E10" i="7"/>
  <c r="F22" i="6"/>
  <c r="F20" i="6"/>
  <c r="F14" i="6"/>
  <c r="F8" i="6"/>
  <c r="E23" i="6"/>
  <c r="E21" i="6"/>
  <c r="E15" i="6"/>
  <c r="E9" i="6"/>
  <c r="E28" i="4"/>
  <c r="E29" i="4"/>
  <c r="E30" i="4"/>
  <c r="E31" i="4"/>
  <c r="E32" i="4"/>
  <c r="E33" i="4"/>
  <c r="E34" i="4"/>
  <c r="E35" i="4"/>
  <c r="L16" i="4"/>
  <c r="L17" i="4"/>
  <c r="L18" i="4"/>
  <c r="L19" i="4"/>
  <c r="L20" i="4"/>
  <c r="L21" i="4"/>
  <c r="L22" i="4"/>
  <c r="L23" i="4"/>
  <c r="E24" i="4"/>
  <c r="L4" i="4"/>
  <c r="L5" i="4"/>
  <c r="L6" i="4"/>
  <c r="L7" i="4"/>
  <c r="L8" i="4"/>
  <c r="L9" i="4"/>
  <c r="L10" i="4"/>
  <c r="L11" i="4"/>
  <c r="F4" i="4"/>
  <c r="F5" i="4"/>
  <c r="F6" i="4"/>
  <c r="F7" i="4"/>
  <c r="F8" i="4"/>
  <c r="F9" i="4"/>
  <c r="F10" i="4"/>
  <c r="F11" i="4"/>
</calcChain>
</file>

<file path=xl/sharedStrings.xml><?xml version="1.0" encoding="utf-8"?>
<sst xmlns="http://schemas.openxmlformats.org/spreadsheetml/2006/main" count="443" uniqueCount="266">
  <si>
    <t>도서 대여 현황</t>
  </si>
  <si>
    <t>도서코드</t>
  </si>
  <si>
    <t>도서명</t>
  </si>
  <si>
    <t>분류</t>
  </si>
  <si>
    <t>저자</t>
  </si>
  <si>
    <t>대여일</t>
  </si>
  <si>
    <t>대여기간</t>
  </si>
  <si>
    <t>대여료</t>
  </si>
  <si>
    <t>비고</t>
  </si>
  <si>
    <t>BK-101</t>
  </si>
  <si>
    <t>바다의 기억</t>
  </si>
  <si>
    <t>소설</t>
  </si>
  <si>
    <t>윤소라</t>
  </si>
  <si>
    <t>BK-102</t>
  </si>
  <si>
    <t>데이터 첫걸음</t>
  </si>
  <si>
    <t>IT</t>
  </si>
  <si>
    <t>강민호</t>
  </si>
  <si>
    <t>BK-103</t>
  </si>
  <si>
    <t>오래된 정원</t>
  </si>
  <si>
    <t>에세이</t>
  </si>
  <si>
    <t>서지안</t>
  </si>
  <si>
    <t>BK-104</t>
  </si>
  <si>
    <t>숫자로 보는 경제</t>
  </si>
  <si>
    <t>경제</t>
  </si>
  <si>
    <t>문태호</t>
  </si>
  <si>
    <t>BK-105</t>
  </si>
  <si>
    <t>별을 세는 밤</t>
  </si>
  <si>
    <t>BK-106</t>
  </si>
  <si>
    <t>실무 엑셀 활용</t>
  </si>
  <si>
    <t>BK-107</t>
  </si>
  <si>
    <t>작은 습관의 힘</t>
  </si>
  <si>
    <t>자기계발</t>
  </si>
  <si>
    <t>배수진</t>
  </si>
  <si>
    <t>BK-108</t>
  </si>
  <si>
    <t>도시 산책</t>
  </si>
  <si>
    <t>BK-109</t>
  </si>
  <si>
    <t>투자의 기본</t>
  </si>
  <si>
    <t>BK-110</t>
  </si>
  <si>
    <t>여름 방학</t>
  </si>
  <si>
    <t>임하늘</t>
  </si>
  <si>
    <t>BK-111</t>
  </si>
  <si>
    <t>코딩 입문</t>
  </si>
  <si>
    <t>조은비</t>
  </si>
  <si>
    <t>BK-112</t>
  </si>
  <si>
    <t>아침 루틴</t>
  </si>
  <si>
    <t>지점별 판매 실적</t>
  </si>
  <si>
    <t>담당자</t>
  </si>
  <si>
    <t>지점</t>
  </si>
  <si>
    <t>제품</t>
  </si>
  <si>
    <t>단가</t>
  </si>
  <si>
    <t>판매량</t>
  </si>
  <si>
    <t>판매액</t>
  </si>
  <si>
    <t>김은우</t>
  </si>
  <si>
    <t>서울</t>
  </si>
  <si>
    <t>공기청정기</t>
  </si>
  <si>
    <t>박도현</t>
  </si>
  <si>
    <t>부산</t>
  </si>
  <si>
    <t>제습기</t>
  </si>
  <si>
    <t>이수빈</t>
  </si>
  <si>
    <t>선풍기</t>
  </si>
  <si>
    <t>최예린</t>
  </si>
  <si>
    <t>대구</t>
  </si>
  <si>
    <t>정우성</t>
  </si>
  <si>
    <t>한지우</t>
  </si>
  <si>
    <t>오시현</t>
  </si>
  <si>
    <t>광주</t>
  </si>
  <si>
    <t>신민서</t>
  </si>
  <si>
    <t>윤재민</t>
  </si>
  <si>
    <t>장하율</t>
  </si>
  <si>
    <t>임가온</t>
  </si>
  <si>
    <t>강서진</t>
  </si>
  <si>
    <t>[표1] 학생 성적표</t>
  </si>
  <si>
    <t>[표2] 회원 명단</t>
  </si>
  <si>
    <t>학번</t>
  </si>
  <si>
    <t>이름</t>
  </si>
  <si>
    <t>국어</t>
  </si>
  <si>
    <t>영어</t>
  </si>
  <si>
    <t>수학</t>
  </si>
  <si>
    <t>평가</t>
  </si>
  <si>
    <t>회원번호</t>
  </si>
  <si>
    <t>주민등록번호</t>
  </si>
  <si>
    <t>가입일</t>
  </si>
  <si>
    <t>성별</t>
  </si>
  <si>
    <t>S01</t>
  </si>
  <si>
    <t>김하늘</t>
  </si>
  <si>
    <t>M-01</t>
  </si>
  <si>
    <t>강민지</t>
  </si>
  <si>
    <t>950311-2******</t>
  </si>
  <si>
    <t>S02</t>
  </si>
  <si>
    <t>이도현</t>
  </si>
  <si>
    <t>M-02</t>
  </si>
  <si>
    <t>윤태호</t>
  </si>
  <si>
    <t>880702-1******</t>
  </si>
  <si>
    <t>S03</t>
  </si>
  <si>
    <t>박서윤</t>
  </si>
  <si>
    <t>M-03</t>
  </si>
  <si>
    <t>조은서</t>
  </si>
  <si>
    <t>010509-4******</t>
  </si>
  <si>
    <t>S04</t>
  </si>
  <si>
    <t>정우진</t>
  </si>
  <si>
    <t>M-04</t>
  </si>
  <si>
    <t>임건우</t>
  </si>
  <si>
    <t>021120-3******</t>
  </si>
  <si>
    <t>S05</t>
  </si>
  <si>
    <t>최지아</t>
  </si>
  <si>
    <t>M-05</t>
  </si>
  <si>
    <t>서다인</t>
  </si>
  <si>
    <t>990214-2******</t>
  </si>
  <si>
    <t>S06</t>
  </si>
  <si>
    <t>한예준</t>
  </si>
  <si>
    <t>M-06</t>
  </si>
  <si>
    <t>배준호</t>
  </si>
  <si>
    <t>930827-1******</t>
  </si>
  <si>
    <t>S07</t>
  </si>
  <si>
    <t>유하린</t>
  </si>
  <si>
    <t>M-07</t>
  </si>
  <si>
    <t>문채원</t>
  </si>
  <si>
    <t>000903-4******</t>
  </si>
  <si>
    <t>S08</t>
  </si>
  <si>
    <t>신동하</t>
  </si>
  <si>
    <t>M-08</t>
  </si>
  <si>
    <t>홍지성</t>
  </si>
  <si>
    <t>011231-3******</t>
  </si>
  <si>
    <t>[표3] 지점별 판매 수량</t>
  </si>
  <si>
    <t>[표4] 상품 목록</t>
  </si>
  <si>
    <t>수량</t>
  </si>
  <si>
    <t>금액</t>
  </si>
  <si>
    <t>상품코드</t>
  </si>
  <si>
    <t>상품명</t>
  </si>
  <si>
    <t>입고량</t>
  </si>
  <si>
    <t>출고량</t>
  </si>
  <si>
    <t>강남</t>
  </si>
  <si>
    <t>노트북</t>
  </si>
  <si>
    <t>FD-101</t>
  </si>
  <si>
    <t>현미 쌀</t>
  </si>
  <si>
    <t>강북</t>
  </si>
  <si>
    <t>태블릿</t>
  </si>
  <si>
    <t>HM-201</t>
  </si>
  <si>
    <t>수납장</t>
  </si>
  <si>
    <t>EL-301</t>
  </si>
  <si>
    <t>전기 포트</t>
  </si>
  <si>
    <t>송파</t>
  </si>
  <si>
    <t>FD-102</t>
  </si>
  <si>
    <t>올리브유</t>
  </si>
  <si>
    <t>모니터</t>
  </si>
  <si>
    <t>EL-302</t>
  </si>
  <si>
    <t>무선 청소기</t>
  </si>
  <si>
    <t>HM-202</t>
  </si>
  <si>
    <t>식탁 의자</t>
  </si>
  <si>
    <t>FD-103</t>
  </si>
  <si>
    <t>견과류</t>
  </si>
  <si>
    <t>EL-303</t>
  </si>
  <si>
    <t>공기 청정기</t>
  </si>
  <si>
    <t>강남 평균 수량</t>
  </si>
  <si>
    <t>&lt;분류표&gt;</t>
  </si>
  <si>
    <t>[표5] 영업 실적</t>
  </si>
  <si>
    <t>코드</t>
  </si>
  <si>
    <t>분류명</t>
  </si>
  <si>
    <t>사원</t>
  </si>
  <si>
    <t>부서</t>
  </si>
  <si>
    <t>목표</t>
  </si>
  <si>
    <t>실적</t>
  </si>
  <si>
    <t>순위</t>
  </si>
  <si>
    <t>FD</t>
  </si>
  <si>
    <t>식품</t>
  </si>
  <si>
    <t>나영호</t>
  </si>
  <si>
    <t>영업1팀</t>
  </si>
  <si>
    <t>HM</t>
  </si>
  <si>
    <t>가구</t>
  </si>
  <si>
    <t>도지원</t>
  </si>
  <si>
    <t>영업2팀</t>
  </si>
  <si>
    <t>EL</t>
  </si>
  <si>
    <t>가전</t>
  </si>
  <si>
    <t>마서현</t>
  </si>
  <si>
    <t>백승민</t>
  </si>
  <si>
    <t>영업3팀</t>
  </si>
  <si>
    <t>송유나</t>
  </si>
  <si>
    <t>안재희</t>
  </si>
  <si>
    <t>여민규</t>
  </si>
  <si>
    <t>진소율</t>
  </si>
  <si>
    <t>판매일</t>
  </si>
  <si>
    <t>제품분류</t>
  </si>
  <si>
    <t>사번</t>
  </si>
  <si>
    <t>직급</t>
  </si>
  <si>
    <t>기본급</t>
  </si>
  <si>
    <t>수당</t>
  </si>
  <si>
    <t>A-11</t>
  </si>
  <si>
    <t>고은채</t>
  </si>
  <si>
    <t>영업부</t>
  </si>
  <si>
    <t>대리</t>
  </si>
  <si>
    <t>A-12</t>
  </si>
  <si>
    <t>남궁민</t>
  </si>
  <si>
    <t>총무부</t>
  </si>
  <si>
    <t>과장</t>
  </si>
  <si>
    <t>A-13</t>
  </si>
  <si>
    <t>독고현</t>
  </si>
  <si>
    <t>A-14</t>
  </si>
  <si>
    <t>라윤서</t>
  </si>
  <si>
    <t>기획부</t>
  </si>
  <si>
    <t>부장</t>
  </si>
  <si>
    <t>A-15</t>
  </si>
  <si>
    <t>맹지호</t>
  </si>
  <si>
    <t>A-16</t>
  </si>
  <si>
    <t>방수아</t>
  </si>
  <si>
    <t>A-17</t>
  </si>
  <si>
    <t>사공진</t>
  </si>
  <si>
    <t>A-18</t>
  </si>
  <si>
    <t>석하윤</t>
  </si>
  <si>
    <t>A-19</t>
  </si>
  <si>
    <t>어진우</t>
  </si>
  <si>
    <t>A-20</t>
  </si>
  <si>
    <t>제갈은</t>
  </si>
  <si>
    <t>A-21</t>
  </si>
  <si>
    <t>탁서준</t>
  </si>
  <si>
    <t>A-22</t>
  </si>
  <si>
    <t>편다온</t>
  </si>
  <si>
    <t>분기별 판매 현황</t>
  </si>
  <si>
    <t>1월</t>
  </si>
  <si>
    <t>2월</t>
  </si>
  <si>
    <t>3월</t>
  </si>
  <si>
    <t>합계</t>
  </si>
  <si>
    <t>평균</t>
  </si>
  <si>
    <t>※ 매크로 단추를 이 근처에 만드세요</t>
  </si>
  <si>
    <t>키보드</t>
  </si>
  <si>
    <t>마우스</t>
  </si>
  <si>
    <t>프린터</t>
  </si>
  <si>
    <t>스피커</t>
  </si>
  <si>
    <t>1학기 성적</t>
  </si>
  <si>
    <t>사원 교육 신청 현황</t>
  </si>
  <si>
    <t>성명</t>
  </si>
  <si>
    <t>교육과정</t>
  </si>
  <si>
    <t>신청일</t>
  </si>
  <si>
    <t>교육비</t>
  </si>
  <si>
    <t>E-1021</t>
  </si>
  <si>
    <t>김지훈</t>
  </si>
  <si>
    <t>엑셀 실무</t>
  </si>
  <si>
    <t>E-1034</t>
  </si>
  <si>
    <t>박서영</t>
  </si>
  <si>
    <t>인사부</t>
  </si>
  <si>
    <t>보고서 작성</t>
  </si>
  <si>
    <t>E-1047</t>
  </si>
  <si>
    <t>이도윤</t>
  </si>
  <si>
    <t>생산부</t>
  </si>
  <si>
    <t>품질 관리</t>
  </si>
  <si>
    <t>E-1052</t>
  </si>
  <si>
    <t>최하린</t>
  </si>
  <si>
    <t>고객 응대</t>
  </si>
  <si>
    <t>E-1068</t>
  </si>
  <si>
    <t>정민재</t>
  </si>
  <si>
    <t>재무부</t>
  </si>
  <si>
    <t>E-1073</t>
  </si>
  <si>
    <t>한유진</t>
  </si>
  <si>
    <t>노무 관리</t>
  </si>
  <si>
    <t>E-1089</t>
  </si>
  <si>
    <t>오태경</t>
  </si>
  <si>
    <t>안전 교육</t>
  </si>
  <si>
    <t>총합계</t>
  </si>
  <si>
    <t>합계 : 금액</t>
  </si>
  <si>
    <t>기획부 최대</t>
  </si>
  <si>
    <t>영업부 최대</t>
  </si>
  <si>
    <t>총무부 최대</t>
  </si>
  <si>
    <t>전체 최대값</t>
  </si>
  <si>
    <t>기획부 평균</t>
  </si>
  <si>
    <t>영업부 평균</t>
  </si>
  <si>
    <t>총무부 평균</t>
  </si>
  <si>
    <t>전체 평균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</si>
</sst>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0.0"/>
    <numFmt numFmtId="178" formatCode="#,##0&quot;원&quot;"/>
  </numFmts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u/>
      <sz val="17"/>
      <color theme="1"/>
      <name val="굴림체"/>
      <family val="3"/>
      <charset val="129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76" fontId="0" fillId="0" borderId="0" xfId="0" applyNumberFormat="1"/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/>
    <xf numFmtId="0" fontId="1" fillId="0" borderId="0" xfId="0" applyFont="1"/>
    <xf numFmtId="3" fontId="0" fillId="0" borderId="0" xfId="0" applyNumberFormat="1"/>
    <xf numFmtId="177" fontId="0" fillId="0" borderId="1" xfId="0" applyNumberFormat="1" applyBorder="1"/>
    <xf numFmtId="14" fontId="0" fillId="0" borderId="0" xfId="0" applyNumberFormat="1"/>
    <xf numFmtId="0" fontId="3" fillId="0" borderId="0" xfId="0" applyFont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/>
    <xf numFmtId="176" fontId="0" fillId="0" borderId="2" xfId="0" applyNumberFormat="1" applyBorder="1"/>
    <xf numFmtId="178" fontId="0" fillId="0" borderId="2" xfId="0" applyNumberFormat="1" applyBorder="1"/>
    <xf numFmtId="0" fontId="0" fillId="0" borderId="0" xfId="0" pivotButton="1"/>
    <xf numFmtId="0" fontId="0" fillId="0" borderId="0" xfId="0" applyNumberFormat="1"/>
    <xf numFmtId="0" fontId="4" fillId="0" borderId="0" xfId="0" applyFont="1"/>
    <xf numFmtId="0" fontId="1" fillId="2" borderId="1" xfId="0" applyFont="1" applyFill="1" applyBorder="1"/>
  </cellXfs>
  <cellStyles count="1">
    <cellStyle name="표준" xfId="0" builtinId="0"/>
  </cellStyles>
  <dxfs count="1">
    <dxf>
      <font>
        <b/>
        <i val="0"/>
        <color rgb="FF0070C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1</a:t>
            </a:r>
            <a:r>
              <a:rPr lang="ko-KR" altLang="en-US"/>
              <a:t>학기 성적 현황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'기타작업-2'!$B$3</c:f>
              <c:strCache>
                <c:ptCount val="1"/>
                <c:pt idx="0">
                  <c:v>국어</c:v>
                </c:pt>
              </c:strCache>
            </c:strRef>
          </c:tx>
          <c:invertIfNegative val="0"/>
          <c:cat>
            <c:strRef>
              <c:f>'기타작업-2'!$A$4:$A$9</c:f>
              <c:strCache>
                <c:ptCount val="6"/>
                <c:pt idx="0">
                  <c:v>김하늘</c:v>
                </c:pt>
                <c:pt idx="1">
                  <c:v>이도현</c:v>
                </c:pt>
                <c:pt idx="2">
                  <c:v>박서윤</c:v>
                </c:pt>
                <c:pt idx="3">
                  <c:v>정우진</c:v>
                </c:pt>
                <c:pt idx="4">
                  <c:v>최지아</c:v>
                </c:pt>
                <c:pt idx="5">
                  <c:v>한예준</c:v>
                </c:pt>
              </c:strCache>
            </c:strRef>
          </c:cat>
          <c:val>
            <c:numRef>
              <c:f>'기타작업-2'!$B$4:$B$9</c:f>
              <c:numCache>
                <c:formatCode>General</c:formatCode>
                <c:ptCount val="6"/>
                <c:pt idx="0">
                  <c:v>92</c:v>
                </c:pt>
                <c:pt idx="1">
                  <c:v>75</c:v>
                </c:pt>
                <c:pt idx="2">
                  <c:v>64</c:v>
                </c:pt>
                <c:pt idx="3">
                  <c:v>88</c:v>
                </c:pt>
                <c:pt idx="4">
                  <c:v>55</c:v>
                </c:pt>
                <c:pt idx="5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A8-4C93-A99F-9E9BF1983A55}"/>
            </c:ext>
          </c:extLst>
        </c:ser>
        <c:ser>
          <c:idx val="1"/>
          <c:order val="1"/>
          <c:tx>
            <c:strRef>
              <c:f>'기타작업-2'!$C$3</c:f>
              <c:strCache>
                <c:ptCount val="1"/>
                <c:pt idx="0">
                  <c:v>영어</c:v>
                </c:pt>
              </c:strCache>
            </c:strRef>
          </c:tx>
          <c:invertIfNegative val="0"/>
          <c:cat>
            <c:strRef>
              <c:f>'기타작업-2'!$A$4:$A$9</c:f>
              <c:strCache>
                <c:ptCount val="6"/>
                <c:pt idx="0">
                  <c:v>김하늘</c:v>
                </c:pt>
                <c:pt idx="1">
                  <c:v>이도현</c:v>
                </c:pt>
                <c:pt idx="2">
                  <c:v>박서윤</c:v>
                </c:pt>
                <c:pt idx="3">
                  <c:v>정우진</c:v>
                </c:pt>
                <c:pt idx="4">
                  <c:v>최지아</c:v>
                </c:pt>
                <c:pt idx="5">
                  <c:v>한예준</c:v>
                </c:pt>
              </c:strCache>
            </c:strRef>
          </c:cat>
          <c:val>
            <c:numRef>
              <c:f>'기타작업-2'!$C$4:$C$9</c:f>
              <c:numCache>
                <c:formatCode>General</c:formatCode>
                <c:ptCount val="6"/>
                <c:pt idx="0">
                  <c:v>88</c:v>
                </c:pt>
                <c:pt idx="1">
                  <c:v>68</c:v>
                </c:pt>
                <c:pt idx="2">
                  <c:v>70</c:v>
                </c:pt>
                <c:pt idx="3">
                  <c:v>79</c:v>
                </c:pt>
                <c:pt idx="4">
                  <c:v>62</c:v>
                </c:pt>
                <c:pt idx="5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A8-4C93-A99F-9E9BF1983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6862879"/>
        <c:axId val="553425487"/>
      </c:barChart>
      <c:lineChart>
        <c:grouping val="standard"/>
        <c:varyColors val="0"/>
        <c:ser>
          <c:idx val="2"/>
          <c:order val="2"/>
          <c:tx>
            <c:strRef>
              <c:f>'기타작업-2'!$E$3</c:f>
              <c:strCache>
                <c:ptCount val="1"/>
                <c:pt idx="0">
                  <c:v>평균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'기타작업-2'!$A$4:$A$9</c:f>
              <c:strCache>
                <c:ptCount val="6"/>
                <c:pt idx="0">
                  <c:v>김하늘</c:v>
                </c:pt>
                <c:pt idx="1">
                  <c:v>이도현</c:v>
                </c:pt>
                <c:pt idx="2">
                  <c:v>박서윤</c:v>
                </c:pt>
                <c:pt idx="3">
                  <c:v>정우진</c:v>
                </c:pt>
                <c:pt idx="4">
                  <c:v>최지아</c:v>
                </c:pt>
                <c:pt idx="5">
                  <c:v>한예준</c:v>
                </c:pt>
              </c:strCache>
            </c:strRef>
          </c:cat>
          <c:val>
            <c:numRef>
              <c:f>'기타작업-2'!$E$4:$E$9</c:f>
              <c:numCache>
                <c:formatCode>0.0</c:formatCode>
                <c:ptCount val="6"/>
                <c:pt idx="0">
                  <c:v>88.3</c:v>
                </c:pt>
                <c:pt idx="1">
                  <c:v>71.7</c:v>
                </c:pt>
                <c:pt idx="2">
                  <c:v>64</c:v>
                </c:pt>
                <c:pt idx="3">
                  <c:v>85.7</c:v>
                </c:pt>
                <c:pt idx="4">
                  <c:v>59</c:v>
                </c:pt>
                <c:pt idx="5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A8-4C93-A99F-9E9BF1983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6861679"/>
        <c:axId val="553419663"/>
      </c:lineChart>
      <c:catAx>
        <c:axId val="536862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3425487"/>
        <c:crosses val="autoZero"/>
        <c:auto val="1"/>
        <c:lblAlgn val="ctr"/>
        <c:lblOffset val="100"/>
        <c:noMultiLvlLbl val="0"/>
      </c:catAx>
      <c:valAx>
        <c:axId val="5534254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6862879"/>
        <c:crosses val="autoZero"/>
        <c:crossBetween val="between"/>
      </c:valAx>
      <c:valAx>
        <c:axId val="553419663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crossAx val="536861679"/>
        <c:crosses val="max"/>
        <c:crossBetween val="between"/>
      </c:valAx>
      <c:catAx>
        <c:axId val="5368616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3419663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97B2687-B9CD-434A-9751-670DEB6315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8.751634375003" createdVersion="3" refreshedVersion="6" minRefreshableVersion="3" recordCount="24" xr:uid="{9BEAC380-5AEE-4F6F-AB1C-8FDDF64611CC}">
  <cacheSource type="worksheet">
    <worksheetSource ref="A3:G27" sheet="분석작업-1"/>
  </cacheSource>
  <cacheFields count="7">
    <cacheField name="판매일" numFmtId="176">
      <sharedItems containsSemiMixedTypes="0" containsNonDate="0" containsDate="1" containsString="0" minDate="2026-08-01T00:00:00" maxDate="2026-08-25T00:00:00"/>
    </cacheField>
    <cacheField name="지점" numFmtId="0">
      <sharedItems count="3">
        <s v="강남"/>
        <s v="강북"/>
        <s v="송파"/>
      </sharedItems>
    </cacheField>
    <cacheField name="담당자" numFmtId="0">
      <sharedItems/>
    </cacheField>
    <cacheField name="제품분류" numFmtId="0">
      <sharedItems count="3">
        <s v="가전"/>
        <s v="가구"/>
        <s v="식품"/>
      </sharedItems>
    </cacheField>
    <cacheField name="수량" numFmtId="0">
      <sharedItems containsSemiMixedTypes="0" containsString="0" containsNumber="1" containsInteger="1" minValue="3" maxValue="29"/>
    </cacheField>
    <cacheField name="단가" numFmtId="3">
      <sharedItems containsSemiMixedTypes="0" containsString="0" containsNumber="1" containsInteger="1" minValue="25000" maxValue="320000"/>
    </cacheField>
    <cacheField name="금액" numFmtId="3">
      <sharedItems containsSemiMixedTypes="0" containsString="0" containsNumber="1" containsInteger="1" minValue="200000" maxValue="928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d v="2026-08-01T00:00:00"/>
    <x v="0"/>
    <s v="김은우"/>
    <x v="0"/>
    <n v="8"/>
    <n v="320000"/>
    <n v="2560000"/>
  </r>
  <r>
    <d v="2026-08-02T00:00:00"/>
    <x v="1"/>
    <s v="최예린"/>
    <x v="1"/>
    <n v="16"/>
    <n v="180000"/>
    <n v="2880000"/>
  </r>
  <r>
    <d v="2026-08-03T00:00:00"/>
    <x v="2"/>
    <s v="정우성"/>
    <x v="2"/>
    <n v="25"/>
    <n v="25000"/>
    <n v="625000"/>
  </r>
  <r>
    <d v="2026-08-04T00:00:00"/>
    <x v="0"/>
    <s v="박도현"/>
    <x v="1"/>
    <n v="16"/>
    <n v="180000"/>
    <n v="2880000"/>
  </r>
  <r>
    <d v="2026-08-05T00:00:00"/>
    <x v="1"/>
    <s v="이수빈"/>
    <x v="2"/>
    <n v="23"/>
    <n v="25000"/>
    <n v="575000"/>
  </r>
  <r>
    <d v="2026-08-06T00:00:00"/>
    <x v="2"/>
    <s v="한지우"/>
    <x v="0"/>
    <n v="12"/>
    <n v="320000"/>
    <n v="3840000"/>
  </r>
  <r>
    <d v="2026-08-07T00:00:00"/>
    <x v="0"/>
    <s v="김은우"/>
    <x v="2"/>
    <n v="18"/>
    <n v="25000"/>
    <n v="450000"/>
  </r>
  <r>
    <d v="2026-08-08T00:00:00"/>
    <x v="1"/>
    <s v="최예린"/>
    <x v="0"/>
    <n v="29"/>
    <n v="320000"/>
    <n v="9280000"/>
  </r>
  <r>
    <d v="2026-08-09T00:00:00"/>
    <x v="2"/>
    <s v="정우성"/>
    <x v="1"/>
    <n v="9"/>
    <n v="180000"/>
    <n v="1620000"/>
  </r>
  <r>
    <d v="2026-08-10T00:00:00"/>
    <x v="0"/>
    <s v="박도현"/>
    <x v="0"/>
    <n v="28"/>
    <n v="320000"/>
    <n v="8960000"/>
  </r>
  <r>
    <d v="2026-08-11T00:00:00"/>
    <x v="1"/>
    <s v="이수빈"/>
    <x v="1"/>
    <n v="18"/>
    <n v="180000"/>
    <n v="3240000"/>
  </r>
  <r>
    <d v="2026-08-12T00:00:00"/>
    <x v="2"/>
    <s v="한지우"/>
    <x v="2"/>
    <n v="28"/>
    <n v="25000"/>
    <n v="700000"/>
  </r>
  <r>
    <d v="2026-08-13T00:00:00"/>
    <x v="0"/>
    <s v="김은우"/>
    <x v="1"/>
    <n v="19"/>
    <n v="180000"/>
    <n v="3420000"/>
  </r>
  <r>
    <d v="2026-08-14T00:00:00"/>
    <x v="1"/>
    <s v="최예린"/>
    <x v="2"/>
    <n v="8"/>
    <n v="25000"/>
    <n v="200000"/>
  </r>
  <r>
    <d v="2026-08-15T00:00:00"/>
    <x v="2"/>
    <s v="정우성"/>
    <x v="0"/>
    <n v="19"/>
    <n v="320000"/>
    <n v="6080000"/>
  </r>
  <r>
    <d v="2026-08-16T00:00:00"/>
    <x v="0"/>
    <s v="박도현"/>
    <x v="2"/>
    <n v="19"/>
    <n v="25000"/>
    <n v="475000"/>
  </r>
  <r>
    <d v="2026-08-17T00:00:00"/>
    <x v="1"/>
    <s v="이수빈"/>
    <x v="0"/>
    <n v="10"/>
    <n v="320000"/>
    <n v="3200000"/>
  </r>
  <r>
    <d v="2026-08-18T00:00:00"/>
    <x v="2"/>
    <s v="한지우"/>
    <x v="1"/>
    <n v="28"/>
    <n v="180000"/>
    <n v="5040000"/>
  </r>
  <r>
    <d v="2026-08-19T00:00:00"/>
    <x v="0"/>
    <s v="김은우"/>
    <x v="0"/>
    <n v="3"/>
    <n v="320000"/>
    <n v="960000"/>
  </r>
  <r>
    <d v="2026-08-20T00:00:00"/>
    <x v="1"/>
    <s v="최예린"/>
    <x v="1"/>
    <n v="3"/>
    <n v="180000"/>
    <n v="540000"/>
  </r>
  <r>
    <d v="2026-08-21T00:00:00"/>
    <x v="2"/>
    <s v="정우성"/>
    <x v="2"/>
    <n v="14"/>
    <n v="25000"/>
    <n v="350000"/>
  </r>
  <r>
    <d v="2026-08-22T00:00:00"/>
    <x v="0"/>
    <s v="박도현"/>
    <x v="1"/>
    <n v="21"/>
    <n v="180000"/>
    <n v="3780000"/>
  </r>
  <r>
    <d v="2026-08-23T00:00:00"/>
    <x v="1"/>
    <s v="이수빈"/>
    <x v="2"/>
    <n v="16"/>
    <n v="25000"/>
    <n v="400000"/>
  </r>
  <r>
    <d v="2026-08-24T00:00:00"/>
    <x v="2"/>
    <s v="한지우"/>
    <x v="0"/>
    <n v="5"/>
    <n v="320000"/>
    <n v="16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0B99F1-397B-47BB-A028-649D727511EB}" name="PT" cacheId="3" applyNumberFormats="0" applyBorderFormats="0" applyFontFormats="0" applyPatternFormats="0" applyAlignmentFormats="0" applyWidthHeightFormats="1" dataCaption="값" updatedVersion="6" minRefreshableVersion="3" showCalcMbrs="0" useAutoFormatting="1" itemPrintTitles="1" createdVersion="3" indent="0" compact="0" outline="1" outlineData="1" compactData="0" multipleFieldFilters="0">
  <location ref="I3:M8" firstHeaderRow="1" firstDataRow="2" firstDataCol="1"/>
  <pivotFields count="7">
    <pivotField compact="0" numFmtId="176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axis="axisCol" compact="0" showAll="0">
      <items count="4">
        <item x="1"/>
        <item x="0"/>
        <item x="2"/>
        <item t="default"/>
      </items>
    </pivotField>
    <pivotField compact="0" showAll="0"/>
    <pivotField compact="0" numFmtId="3" showAll="0"/>
    <pivotField dataField="1" compact="0" numFmtId="3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합계 : 금액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/>
  </sheetViews>
  <sheetFormatPr defaultRowHeight="17.399999999999999" x14ac:dyDescent="0.4"/>
  <cols>
    <col min="1" max="3" width="10" customWidth="1"/>
    <col min="4" max="4" width="14" customWidth="1"/>
    <col min="5" max="5" width="12" customWidth="1"/>
    <col min="6" max="6" width="10" customWidth="1"/>
  </cols>
  <sheetData>
    <row r="1" spans="1:6" x14ac:dyDescent="0.4">
      <c r="A1" t="s">
        <v>228</v>
      </c>
    </row>
    <row r="3" spans="1:6" x14ac:dyDescent="0.4">
      <c r="A3" t="s">
        <v>182</v>
      </c>
      <c r="B3" t="s">
        <v>229</v>
      </c>
      <c r="C3" t="s">
        <v>159</v>
      </c>
      <c r="D3" t="s">
        <v>230</v>
      </c>
      <c r="E3" t="s">
        <v>231</v>
      </c>
      <c r="F3" t="s">
        <v>232</v>
      </c>
    </row>
    <row r="4" spans="1:6" x14ac:dyDescent="0.4">
      <c r="A4" t="s">
        <v>233</v>
      </c>
      <c r="B4" t="s">
        <v>234</v>
      </c>
      <c r="C4" t="s">
        <v>188</v>
      </c>
      <c r="D4" t="s">
        <v>235</v>
      </c>
      <c r="E4" s="8">
        <v>46266</v>
      </c>
      <c r="F4">
        <v>150000</v>
      </c>
    </row>
    <row r="5" spans="1:6" x14ac:dyDescent="0.4">
      <c r="A5" t="s">
        <v>236</v>
      </c>
      <c r="B5" t="s">
        <v>237</v>
      </c>
      <c r="C5" t="s">
        <v>238</v>
      </c>
      <c r="D5" t="s">
        <v>239</v>
      </c>
      <c r="E5" s="8">
        <v>46267</v>
      </c>
      <c r="F5">
        <v>120000</v>
      </c>
    </row>
    <row r="6" spans="1:6" x14ac:dyDescent="0.4">
      <c r="A6" t="s">
        <v>240</v>
      </c>
      <c r="B6" t="s">
        <v>241</v>
      </c>
      <c r="C6" t="s">
        <v>242</v>
      </c>
      <c r="D6" t="s">
        <v>243</v>
      </c>
      <c r="E6" s="8">
        <v>46267</v>
      </c>
      <c r="F6">
        <v>180000</v>
      </c>
    </row>
    <row r="7" spans="1:6" x14ac:dyDescent="0.4">
      <c r="A7" t="s">
        <v>244</v>
      </c>
      <c r="B7" t="s">
        <v>245</v>
      </c>
      <c r="C7" t="s">
        <v>188</v>
      </c>
      <c r="D7" t="s">
        <v>246</v>
      </c>
      <c r="E7" s="8">
        <v>46269</v>
      </c>
      <c r="F7">
        <v>90000</v>
      </c>
    </row>
    <row r="8" spans="1:6" x14ac:dyDescent="0.4">
      <c r="A8" t="s">
        <v>247</v>
      </c>
      <c r="B8" t="s">
        <v>248</v>
      </c>
      <c r="C8" t="s">
        <v>249</v>
      </c>
      <c r="D8" t="s">
        <v>235</v>
      </c>
      <c r="E8" s="8">
        <v>46270</v>
      </c>
      <c r="F8">
        <v>150000</v>
      </c>
    </row>
    <row r="9" spans="1:6" x14ac:dyDescent="0.4">
      <c r="A9" t="s">
        <v>250</v>
      </c>
      <c r="B9" t="s">
        <v>251</v>
      </c>
      <c r="C9" t="s">
        <v>238</v>
      </c>
      <c r="D9" t="s">
        <v>252</v>
      </c>
      <c r="E9" s="8">
        <v>46272</v>
      </c>
      <c r="F9">
        <v>200000</v>
      </c>
    </row>
    <row r="10" spans="1:6" x14ac:dyDescent="0.4">
      <c r="A10" t="s">
        <v>253</v>
      </c>
      <c r="B10" t="s">
        <v>254</v>
      </c>
      <c r="C10" t="s">
        <v>242</v>
      </c>
      <c r="D10" t="s">
        <v>255</v>
      </c>
      <c r="E10" s="8">
        <v>46273</v>
      </c>
      <c r="F10">
        <v>80000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/>
  </sheetViews>
  <sheetFormatPr defaultRowHeight="17.399999999999999" x14ac:dyDescent="0.4"/>
  <cols>
    <col min="1" max="1" width="10" customWidth="1"/>
    <col min="2" max="2" width="18" customWidth="1"/>
    <col min="3" max="4" width="10" customWidth="1"/>
    <col min="5" max="5" width="12" customWidth="1"/>
    <col min="6" max="8" width="10" customWidth="1"/>
  </cols>
  <sheetData>
    <row r="1" spans="1:8" ht="22.2" x14ac:dyDescent="0.4">
      <c r="A1" s="9" t="s">
        <v>0</v>
      </c>
      <c r="B1" s="9"/>
      <c r="C1" s="9"/>
      <c r="D1" s="9"/>
      <c r="E1" s="9"/>
      <c r="F1" s="9"/>
      <c r="G1" s="9"/>
      <c r="H1" s="9"/>
    </row>
    <row r="3" spans="1:8" x14ac:dyDescent="0.4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</row>
    <row r="4" spans="1:8" x14ac:dyDescent="0.4">
      <c r="A4" s="11" t="s">
        <v>9</v>
      </c>
      <c r="B4" s="11" t="s">
        <v>10</v>
      </c>
      <c r="C4" s="11" t="s">
        <v>11</v>
      </c>
      <c r="D4" s="11" t="s">
        <v>12</v>
      </c>
      <c r="E4" s="12">
        <v>46266</v>
      </c>
      <c r="F4" s="11">
        <v>7</v>
      </c>
      <c r="G4" s="13">
        <v>1500</v>
      </c>
      <c r="H4" s="11"/>
    </row>
    <row r="5" spans="1:8" x14ac:dyDescent="0.4">
      <c r="A5" s="11" t="s">
        <v>13</v>
      </c>
      <c r="B5" s="11" t="s">
        <v>14</v>
      </c>
      <c r="C5" s="11" t="s">
        <v>15</v>
      </c>
      <c r="D5" s="11" t="s">
        <v>16</v>
      </c>
      <c r="E5" s="12">
        <v>46266</v>
      </c>
      <c r="F5" s="11">
        <v>14</v>
      </c>
      <c r="G5" s="13">
        <v>2500</v>
      </c>
      <c r="H5" s="11"/>
    </row>
    <row r="6" spans="1:8" x14ac:dyDescent="0.4">
      <c r="A6" s="11" t="s">
        <v>17</v>
      </c>
      <c r="B6" s="11" t="s">
        <v>18</v>
      </c>
      <c r="C6" s="11" t="s">
        <v>19</v>
      </c>
      <c r="D6" s="11" t="s">
        <v>20</v>
      </c>
      <c r="E6" s="12">
        <v>46267</v>
      </c>
      <c r="F6" s="11">
        <v>7</v>
      </c>
      <c r="G6" s="13">
        <v>1200</v>
      </c>
      <c r="H6" s="11"/>
    </row>
    <row r="7" spans="1:8" x14ac:dyDescent="0.4">
      <c r="A7" s="11" t="s">
        <v>21</v>
      </c>
      <c r="B7" s="11" t="s">
        <v>22</v>
      </c>
      <c r="C7" s="11" t="s">
        <v>23</v>
      </c>
      <c r="D7" s="11" t="s">
        <v>24</v>
      </c>
      <c r="E7" s="12">
        <v>46268</v>
      </c>
      <c r="F7" s="11">
        <v>10</v>
      </c>
      <c r="G7" s="13">
        <v>2000</v>
      </c>
      <c r="H7" s="11"/>
    </row>
    <row r="8" spans="1:8" x14ac:dyDescent="0.4">
      <c r="A8" s="11" t="s">
        <v>25</v>
      </c>
      <c r="B8" s="11" t="s">
        <v>26</v>
      </c>
      <c r="C8" s="11" t="s">
        <v>11</v>
      </c>
      <c r="D8" s="11" t="s">
        <v>12</v>
      </c>
      <c r="E8" s="12">
        <v>46268</v>
      </c>
      <c r="F8" s="11">
        <v>7</v>
      </c>
      <c r="G8" s="13">
        <v>1500</v>
      </c>
      <c r="H8" s="11"/>
    </row>
    <row r="9" spans="1:8" x14ac:dyDescent="0.4">
      <c r="A9" s="11" t="s">
        <v>27</v>
      </c>
      <c r="B9" s="11" t="s">
        <v>28</v>
      </c>
      <c r="C9" s="11" t="s">
        <v>15</v>
      </c>
      <c r="D9" s="11" t="s">
        <v>16</v>
      </c>
      <c r="E9" s="12">
        <v>46269</v>
      </c>
      <c r="F9" s="11">
        <v>14</v>
      </c>
      <c r="G9" s="13">
        <v>2500</v>
      </c>
      <c r="H9" s="11"/>
    </row>
    <row r="10" spans="1:8" x14ac:dyDescent="0.4">
      <c r="A10" s="11" t="s">
        <v>29</v>
      </c>
      <c r="B10" s="11" t="s">
        <v>30</v>
      </c>
      <c r="C10" s="11" t="s">
        <v>31</v>
      </c>
      <c r="D10" s="11" t="s">
        <v>32</v>
      </c>
      <c r="E10" s="12">
        <v>46270</v>
      </c>
      <c r="F10" s="11">
        <v>10</v>
      </c>
      <c r="G10" s="13">
        <v>1800</v>
      </c>
      <c r="H10" s="11"/>
    </row>
    <row r="11" spans="1:8" x14ac:dyDescent="0.4">
      <c r="A11" s="11" t="s">
        <v>33</v>
      </c>
      <c r="B11" s="11" t="s">
        <v>34</v>
      </c>
      <c r="C11" s="11" t="s">
        <v>19</v>
      </c>
      <c r="D11" s="11" t="s">
        <v>20</v>
      </c>
      <c r="E11" s="12">
        <v>46271</v>
      </c>
      <c r="F11" s="11">
        <v>7</v>
      </c>
      <c r="G11" s="13">
        <v>1200</v>
      </c>
      <c r="H11" s="11"/>
    </row>
    <row r="12" spans="1:8" x14ac:dyDescent="0.4">
      <c r="A12" s="11" t="s">
        <v>35</v>
      </c>
      <c r="B12" s="11" t="s">
        <v>36</v>
      </c>
      <c r="C12" s="11" t="s">
        <v>23</v>
      </c>
      <c r="D12" s="11" t="s">
        <v>24</v>
      </c>
      <c r="E12" s="12">
        <v>46271</v>
      </c>
      <c r="F12" s="11">
        <v>14</v>
      </c>
      <c r="G12" s="13">
        <v>2200</v>
      </c>
      <c r="H12" s="11"/>
    </row>
    <row r="13" spans="1:8" x14ac:dyDescent="0.4">
      <c r="A13" s="11" t="s">
        <v>37</v>
      </c>
      <c r="B13" s="11" t="s">
        <v>38</v>
      </c>
      <c r="C13" s="11" t="s">
        <v>11</v>
      </c>
      <c r="D13" s="11" t="s">
        <v>39</v>
      </c>
      <c r="E13" s="12">
        <v>46272</v>
      </c>
      <c r="F13" s="11">
        <v>7</v>
      </c>
      <c r="G13" s="13">
        <v>1500</v>
      </c>
      <c r="H13" s="11"/>
    </row>
    <row r="14" spans="1:8" x14ac:dyDescent="0.4">
      <c r="A14" s="11" t="s">
        <v>40</v>
      </c>
      <c r="B14" s="11" t="s">
        <v>41</v>
      </c>
      <c r="C14" s="11" t="s">
        <v>15</v>
      </c>
      <c r="D14" s="11" t="s">
        <v>42</v>
      </c>
      <c r="E14" s="12">
        <v>46273</v>
      </c>
      <c r="F14" s="11">
        <v>14</v>
      </c>
      <c r="G14" s="13">
        <v>2500</v>
      </c>
      <c r="H14" s="11"/>
    </row>
    <row r="15" spans="1:8" x14ac:dyDescent="0.4">
      <c r="A15" s="11" t="s">
        <v>43</v>
      </c>
      <c r="B15" s="11" t="s">
        <v>44</v>
      </c>
      <c r="C15" s="11" t="s">
        <v>31</v>
      </c>
      <c r="D15" s="11" t="s">
        <v>32</v>
      </c>
      <c r="E15" s="12">
        <v>46274</v>
      </c>
      <c r="F15" s="11">
        <v>10</v>
      </c>
      <c r="G15" s="13">
        <v>1800</v>
      </c>
      <c r="H15" s="11"/>
    </row>
  </sheetData>
  <mergeCells count="1">
    <mergeCell ref="A1:H1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/>
  </sheetViews>
  <sheetFormatPr defaultRowHeight="17.399999999999999" x14ac:dyDescent="0.4"/>
  <cols>
    <col min="1" max="1" width="10" customWidth="1"/>
    <col min="2" max="2" width="8" customWidth="1"/>
    <col min="3" max="3" width="12" customWidth="1"/>
    <col min="4" max="4" width="10" customWidth="1"/>
    <col min="5" max="5" width="8" customWidth="1"/>
    <col min="6" max="6" width="13" customWidth="1"/>
  </cols>
  <sheetData>
    <row r="1" spans="1:6" x14ac:dyDescent="0.4">
      <c r="A1" t="s">
        <v>45</v>
      </c>
    </row>
    <row r="3" spans="1:6" x14ac:dyDescent="0.4">
      <c r="A3" s="2" t="s">
        <v>46</v>
      </c>
      <c r="B3" s="2" t="s">
        <v>47</v>
      </c>
      <c r="C3" s="2" t="s">
        <v>48</v>
      </c>
      <c r="D3" s="2" t="s">
        <v>49</v>
      </c>
      <c r="E3" s="2" t="s">
        <v>50</v>
      </c>
      <c r="F3" s="2" t="s">
        <v>51</v>
      </c>
    </row>
    <row r="4" spans="1:6" x14ac:dyDescent="0.4">
      <c r="A4" s="3" t="s">
        <v>52</v>
      </c>
      <c r="B4" s="3" t="s">
        <v>53</v>
      </c>
      <c r="C4" s="3" t="s">
        <v>54</v>
      </c>
      <c r="D4" s="4">
        <v>189000</v>
      </c>
      <c r="E4" s="3">
        <v>320</v>
      </c>
      <c r="F4" s="4">
        <v>60480000</v>
      </c>
    </row>
    <row r="5" spans="1:6" x14ac:dyDescent="0.4">
      <c r="A5" s="3" t="s">
        <v>55</v>
      </c>
      <c r="B5" s="3" t="s">
        <v>56</v>
      </c>
      <c r="C5" s="3" t="s">
        <v>57</v>
      </c>
      <c r="D5" s="4">
        <v>245000</v>
      </c>
      <c r="E5" s="3">
        <v>180</v>
      </c>
      <c r="F5" s="4">
        <v>44100000</v>
      </c>
    </row>
    <row r="6" spans="1:6" x14ac:dyDescent="0.4">
      <c r="A6" s="3" t="s">
        <v>58</v>
      </c>
      <c r="B6" s="3" t="s">
        <v>53</v>
      </c>
      <c r="C6" s="3" t="s">
        <v>59</v>
      </c>
      <c r="D6" s="4">
        <v>59000</v>
      </c>
      <c r="E6" s="3">
        <v>280</v>
      </c>
      <c r="F6" s="4">
        <v>16520000</v>
      </c>
    </row>
    <row r="7" spans="1:6" x14ac:dyDescent="0.4">
      <c r="A7" s="3" t="s">
        <v>60</v>
      </c>
      <c r="B7" s="3" t="s">
        <v>61</v>
      </c>
      <c r="C7" s="3" t="s">
        <v>54</v>
      </c>
      <c r="D7" s="4">
        <v>189000</v>
      </c>
      <c r="E7" s="3">
        <v>350</v>
      </c>
      <c r="F7" s="4">
        <v>66150000</v>
      </c>
    </row>
    <row r="8" spans="1:6" x14ac:dyDescent="0.4">
      <c r="A8" s="3" t="s">
        <v>62</v>
      </c>
      <c r="B8" s="3" t="s">
        <v>53</v>
      </c>
      <c r="C8" s="3" t="s">
        <v>57</v>
      </c>
      <c r="D8" s="4">
        <v>245000</v>
      </c>
      <c r="E8" s="3">
        <v>410</v>
      </c>
      <c r="F8" s="4">
        <v>100450000</v>
      </c>
    </row>
    <row r="9" spans="1:6" x14ac:dyDescent="0.4">
      <c r="A9" s="3" t="s">
        <v>63</v>
      </c>
      <c r="B9" s="3" t="s">
        <v>56</v>
      </c>
      <c r="C9" s="3" t="s">
        <v>59</v>
      </c>
      <c r="D9" s="4">
        <v>59000</v>
      </c>
      <c r="E9" s="3">
        <v>520</v>
      </c>
      <c r="F9" s="4">
        <v>30680000</v>
      </c>
    </row>
    <row r="10" spans="1:6" x14ac:dyDescent="0.4">
      <c r="A10" s="3" t="s">
        <v>64</v>
      </c>
      <c r="B10" s="3" t="s">
        <v>65</v>
      </c>
      <c r="C10" s="3" t="s">
        <v>57</v>
      </c>
      <c r="D10" s="4">
        <v>245000</v>
      </c>
      <c r="E10" s="3">
        <v>150</v>
      </c>
      <c r="F10" s="4">
        <v>36750000</v>
      </c>
    </row>
    <row r="11" spans="1:6" x14ac:dyDescent="0.4">
      <c r="A11" s="3" t="s">
        <v>66</v>
      </c>
      <c r="B11" s="3" t="s">
        <v>53</v>
      </c>
      <c r="C11" s="3" t="s">
        <v>54</v>
      </c>
      <c r="D11" s="4">
        <v>189000</v>
      </c>
      <c r="E11" s="3">
        <v>260</v>
      </c>
      <c r="F11" s="4">
        <v>49140000</v>
      </c>
    </row>
    <row r="12" spans="1:6" x14ac:dyDescent="0.4">
      <c r="A12" s="3" t="s">
        <v>67</v>
      </c>
      <c r="B12" s="3" t="s">
        <v>61</v>
      </c>
      <c r="C12" s="3" t="s">
        <v>59</v>
      </c>
      <c r="D12" s="4">
        <v>59000</v>
      </c>
      <c r="E12" s="3">
        <v>300</v>
      </c>
      <c r="F12" s="4">
        <v>17700000</v>
      </c>
    </row>
    <row r="13" spans="1:6" x14ac:dyDescent="0.4">
      <c r="A13" s="3" t="s">
        <v>68</v>
      </c>
      <c r="B13" s="3" t="s">
        <v>53</v>
      </c>
      <c r="C13" s="3" t="s">
        <v>59</v>
      </c>
      <c r="D13" s="4">
        <v>59000</v>
      </c>
      <c r="E13" s="3">
        <v>300</v>
      </c>
      <c r="F13" s="4">
        <v>17700000</v>
      </c>
    </row>
    <row r="14" spans="1:6" x14ac:dyDescent="0.4">
      <c r="A14" s="3" t="s">
        <v>69</v>
      </c>
      <c r="B14" s="3" t="s">
        <v>65</v>
      </c>
      <c r="C14" s="3" t="s">
        <v>54</v>
      </c>
      <c r="D14" s="4">
        <v>189000</v>
      </c>
      <c r="E14" s="3">
        <v>240</v>
      </c>
      <c r="F14" s="4">
        <v>45360000</v>
      </c>
    </row>
    <row r="15" spans="1:6" x14ac:dyDescent="0.4">
      <c r="A15" s="3" t="s">
        <v>70</v>
      </c>
      <c r="B15" s="3" t="s">
        <v>53</v>
      </c>
      <c r="C15" s="3" t="s">
        <v>57</v>
      </c>
      <c r="D15" s="4">
        <v>245000</v>
      </c>
      <c r="E15" s="3">
        <v>120</v>
      </c>
      <c r="F15" s="4">
        <v>29400000</v>
      </c>
    </row>
  </sheetData>
  <phoneticPr fontId="2" type="noConversion"/>
  <conditionalFormatting sqref="A4:F15">
    <cfRule type="expression" dxfId="0" priority="1" stopIfTrue="1">
      <formula>AND($B4="서울",$E4&gt;=300)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L35"/>
  <sheetViews>
    <sheetView workbookViewId="0"/>
  </sheetViews>
  <sheetFormatPr defaultRowHeight="17.399999999999999" x14ac:dyDescent="0.4"/>
  <cols>
    <col min="1" max="1" width="8" customWidth="1"/>
    <col min="2" max="2" width="9" customWidth="1"/>
    <col min="3" max="3" width="15" customWidth="1"/>
    <col min="4" max="5" width="12" customWidth="1"/>
    <col min="6" max="6" width="8" customWidth="1"/>
    <col min="8" max="8" width="10" customWidth="1"/>
    <col min="9" max="9" width="12" customWidth="1"/>
    <col min="10" max="10" width="15" customWidth="1"/>
    <col min="11" max="11" width="12" customWidth="1"/>
    <col min="12" max="12" width="8" customWidth="1"/>
  </cols>
  <sheetData>
    <row r="2" spans="1:12" x14ac:dyDescent="0.4">
      <c r="A2" t="s">
        <v>71</v>
      </c>
      <c r="H2" t="s">
        <v>72</v>
      </c>
    </row>
    <row r="3" spans="1:12" x14ac:dyDescent="0.4">
      <c r="A3" s="5" t="s">
        <v>73</v>
      </c>
      <c r="B3" s="5" t="s">
        <v>74</v>
      </c>
      <c r="C3" s="5" t="s">
        <v>75</v>
      </c>
      <c r="D3" s="5" t="s">
        <v>76</v>
      </c>
      <c r="E3" s="5" t="s">
        <v>77</v>
      </c>
      <c r="F3" s="5" t="s">
        <v>78</v>
      </c>
      <c r="H3" s="5" t="s">
        <v>79</v>
      </c>
      <c r="I3" s="5" t="s">
        <v>74</v>
      </c>
      <c r="J3" s="5" t="s">
        <v>80</v>
      </c>
      <c r="K3" s="5" t="s">
        <v>81</v>
      </c>
      <c r="L3" s="5" t="s">
        <v>82</v>
      </c>
    </row>
    <row r="4" spans="1:12" x14ac:dyDescent="0.4">
      <c r="A4" t="s">
        <v>83</v>
      </c>
      <c r="B4" t="s">
        <v>84</v>
      </c>
      <c r="C4">
        <v>92</v>
      </c>
      <c r="D4">
        <v>88</v>
      </c>
      <c r="E4">
        <v>85</v>
      </c>
      <c r="F4" t="str">
        <f t="shared" ref="F4:F11" si="0">IF(AVERAGE(C4:E4)&gt;=85,"우수",IF(AVERAGE(C4:E4)&gt;=70,"보통","노력"))</f>
        <v>우수</v>
      </c>
      <c r="H4" t="s">
        <v>85</v>
      </c>
      <c r="I4" t="s">
        <v>86</v>
      </c>
      <c r="J4" t="s">
        <v>87</v>
      </c>
      <c r="K4" s="1">
        <v>45718</v>
      </c>
      <c r="L4" t="str">
        <f t="shared" ref="L4:L11" si="1">CHOOSE(MID(J4,8,1),"남","여","남","여")</f>
        <v>여</v>
      </c>
    </row>
    <row r="5" spans="1:12" x14ac:dyDescent="0.4">
      <c r="A5" t="s">
        <v>88</v>
      </c>
      <c r="B5" t="s">
        <v>89</v>
      </c>
      <c r="C5">
        <v>75</v>
      </c>
      <c r="D5">
        <v>68</v>
      </c>
      <c r="E5">
        <v>72</v>
      </c>
      <c r="F5" t="str">
        <f t="shared" si="0"/>
        <v>보통</v>
      </c>
      <c r="H5" t="s">
        <v>90</v>
      </c>
      <c r="I5" t="s">
        <v>91</v>
      </c>
      <c r="J5" t="s">
        <v>92</v>
      </c>
      <c r="K5" s="1">
        <v>45758</v>
      </c>
      <c r="L5" t="str">
        <f t="shared" si="1"/>
        <v>남</v>
      </c>
    </row>
    <row r="6" spans="1:12" x14ac:dyDescent="0.4">
      <c r="A6" t="s">
        <v>93</v>
      </c>
      <c r="B6" t="s">
        <v>94</v>
      </c>
      <c r="C6">
        <v>64</v>
      </c>
      <c r="D6">
        <v>70</v>
      </c>
      <c r="E6">
        <v>58</v>
      </c>
      <c r="F6" t="str">
        <f t="shared" si="0"/>
        <v>노력</v>
      </c>
      <c r="H6" t="s">
        <v>95</v>
      </c>
      <c r="I6" t="s">
        <v>96</v>
      </c>
      <c r="J6" t="s">
        <v>97</v>
      </c>
      <c r="K6" s="1">
        <v>45797</v>
      </c>
      <c r="L6" t="str">
        <f t="shared" si="1"/>
        <v>여</v>
      </c>
    </row>
    <row r="7" spans="1:12" x14ac:dyDescent="0.4">
      <c r="A7" t="s">
        <v>98</v>
      </c>
      <c r="B7" t="s">
        <v>99</v>
      </c>
      <c r="C7">
        <v>88</v>
      </c>
      <c r="D7">
        <v>79</v>
      </c>
      <c r="E7">
        <v>90</v>
      </c>
      <c r="F7" t="str">
        <f t="shared" si="0"/>
        <v>우수</v>
      </c>
      <c r="H7" t="s">
        <v>100</v>
      </c>
      <c r="I7" t="s">
        <v>101</v>
      </c>
      <c r="J7" t="s">
        <v>102</v>
      </c>
      <c r="K7" s="1">
        <v>45816</v>
      </c>
      <c r="L7" t="str">
        <f t="shared" si="1"/>
        <v>남</v>
      </c>
    </row>
    <row r="8" spans="1:12" x14ac:dyDescent="0.4">
      <c r="A8" t="s">
        <v>103</v>
      </c>
      <c r="B8" t="s">
        <v>104</v>
      </c>
      <c r="C8">
        <v>55</v>
      </c>
      <c r="D8">
        <v>62</v>
      </c>
      <c r="E8">
        <v>60</v>
      </c>
      <c r="F8" t="str">
        <f t="shared" si="0"/>
        <v>노력</v>
      </c>
      <c r="H8" t="s">
        <v>105</v>
      </c>
      <c r="I8" t="s">
        <v>106</v>
      </c>
      <c r="J8" t="s">
        <v>107</v>
      </c>
      <c r="K8" s="1">
        <v>45853</v>
      </c>
      <c r="L8" t="str">
        <f t="shared" si="1"/>
        <v>여</v>
      </c>
    </row>
    <row r="9" spans="1:12" x14ac:dyDescent="0.4">
      <c r="A9" t="s">
        <v>108</v>
      </c>
      <c r="B9" t="s">
        <v>109</v>
      </c>
      <c r="C9">
        <v>81</v>
      </c>
      <c r="D9">
        <v>85</v>
      </c>
      <c r="E9">
        <v>86</v>
      </c>
      <c r="F9" t="str">
        <f t="shared" si="0"/>
        <v>보통</v>
      </c>
      <c r="H9" t="s">
        <v>110</v>
      </c>
      <c r="I9" t="s">
        <v>111</v>
      </c>
      <c r="J9" t="s">
        <v>112</v>
      </c>
      <c r="K9" s="1">
        <v>45870</v>
      </c>
      <c r="L9" t="str">
        <f t="shared" si="1"/>
        <v>남</v>
      </c>
    </row>
    <row r="10" spans="1:12" x14ac:dyDescent="0.4">
      <c r="A10" t="s">
        <v>113</v>
      </c>
      <c r="B10" t="s">
        <v>114</v>
      </c>
      <c r="C10">
        <v>70</v>
      </c>
      <c r="D10">
        <v>70</v>
      </c>
      <c r="E10">
        <v>70</v>
      </c>
      <c r="F10" t="str">
        <f t="shared" si="0"/>
        <v>보통</v>
      </c>
      <c r="H10" t="s">
        <v>115</v>
      </c>
      <c r="I10" t="s">
        <v>116</v>
      </c>
      <c r="J10" t="s">
        <v>117</v>
      </c>
      <c r="K10" s="1">
        <v>45912</v>
      </c>
      <c r="L10" t="str">
        <f t="shared" si="1"/>
        <v>여</v>
      </c>
    </row>
    <row r="11" spans="1:12" x14ac:dyDescent="0.4">
      <c r="A11" t="s">
        <v>118</v>
      </c>
      <c r="B11" t="s">
        <v>119</v>
      </c>
      <c r="C11">
        <v>95</v>
      </c>
      <c r="D11">
        <v>91</v>
      </c>
      <c r="E11">
        <v>89</v>
      </c>
      <c r="F11" t="str">
        <f t="shared" si="0"/>
        <v>우수</v>
      </c>
      <c r="H11" t="s">
        <v>120</v>
      </c>
      <c r="I11" t="s">
        <v>121</v>
      </c>
      <c r="J11" t="s">
        <v>122</v>
      </c>
      <c r="K11" s="1">
        <v>45933</v>
      </c>
      <c r="L11" t="str">
        <f t="shared" si="1"/>
        <v>남</v>
      </c>
    </row>
    <row r="14" spans="1:12" x14ac:dyDescent="0.4">
      <c r="A14" t="s">
        <v>123</v>
      </c>
      <c r="H14" t="s">
        <v>124</v>
      </c>
    </row>
    <row r="15" spans="1:12" x14ac:dyDescent="0.4">
      <c r="A15" s="5" t="s">
        <v>47</v>
      </c>
      <c r="B15" s="5" t="s">
        <v>48</v>
      </c>
      <c r="C15" s="5" t="s">
        <v>125</v>
      </c>
      <c r="D15" s="5" t="s">
        <v>49</v>
      </c>
      <c r="E15" s="5" t="s">
        <v>126</v>
      </c>
      <c r="H15" s="5" t="s">
        <v>127</v>
      </c>
      <c r="I15" s="5" t="s">
        <v>128</v>
      </c>
      <c r="J15" s="5" t="s">
        <v>129</v>
      </c>
      <c r="K15" s="5" t="s">
        <v>130</v>
      </c>
      <c r="L15" s="5" t="s">
        <v>3</v>
      </c>
    </row>
    <row r="16" spans="1:12" x14ac:dyDescent="0.4">
      <c r="A16" t="s">
        <v>131</v>
      </c>
      <c r="B16" t="s">
        <v>132</v>
      </c>
      <c r="C16">
        <v>12</v>
      </c>
      <c r="D16" s="6">
        <v>1150000</v>
      </c>
      <c r="E16" s="6">
        <v>13800000</v>
      </c>
      <c r="H16" t="s">
        <v>133</v>
      </c>
      <c r="I16" t="s">
        <v>134</v>
      </c>
      <c r="J16">
        <v>120</v>
      </c>
      <c r="K16">
        <v>95</v>
      </c>
      <c r="L16" t="str">
        <f t="shared" ref="L16:L23" si="2">VLOOKUP(LEFT(H16,2),$H$27:$I$29,2,FALSE)</f>
        <v>식품</v>
      </c>
    </row>
    <row r="17" spans="1:12" x14ac:dyDescent="0.4">
      <c r="A17" t="s">
        <v>135</v>
      </c>
      <c r="B17" t="s">
        <v>136</v>
      </c>
      <c r="C17">
        <v>8</v>
      </c>
      <c r="D17" s="6">
        <v>640000</v>
      </c>
      <c r="E17" s="6">
        <v>5120000</v>
      </c>
      <c r="H17" t="s">
        <v>137</v>
      </c>
      <c r="I17" t="s">
        <v>138</v>
      </c>
      <c r="J17">
        <v>40</v>
      </c>
      <c r="K17">
        <v>22</v>
      </c>
      <c r="L17" t="str">
        <f t="shared" si="2"/>
        <v>가구</v>
      </c>
    </row>
    <row r="18" spans="1:12" x14ac:dyDescent="0.4">
      <c r="A18" t="s">
        <v>131</v>
      </c>
      <c r="B18" t="s">
        <v>136</v>
      </c>
      <c r="C18">
        <v>15</v>
      </c>
      <c r="D18" s="6">
        <v>640000</v>
      </c>
      <c r="E18" s="6">
        <v>9600000</v>
      </c>
      <c r="H18" t="s">
        <v>139</v>
      </c>
      <c r="I18" t="s">
        <v>140</v>
      </c>
      <c r="J18">
        <v>75</v>
      </c>
      <c r="K18">
        <v>60</v>
      </c>
      <c r="L18" t="str">
        <f t="shared" si="2"/>
        <v>가전</v>
      </c>
    </row>
    <row r="19" spans="1:12" x14ac:dyDescent="0.4">
      <c r="A19" t="s">
        <v>141</v>
      </c>
      <c r="B19" t="s">
        <v>132</v>
      </c>
      <c r="C19">
        <v>9</v>
      </c>
      <c r="D19" s="6">
        <v>1150000</v>
      </c>
      <c r="E19" s="6">
        <v>10350000</v>
      </c>
      <c r="H19" t="s">
        <v>142</v>
      </c>
      <c r="I19" t="s">
        <v>143</v>
      </c>
      <c r="J19">
        <v>200</v>
      </c>
      <c r="K19">
        <v>160</v>
      </c>
      <c r="L19" t="str">
        <f t="shared" si="2"/>
        <v>식품</v>
      </c>
    </row>
    <row r="20" spans="1:12" x14ac:dyDescent="0.4">
      <c r="A20" t="s">
        <v>131</v>
      </c>
      <c r="B20" t="s">
        <v>144</v>
      </c>
      <c r="C20">
        <v>22</v>
      </c>
      <c r="D20" s="6">
        <v>280000</v>
      </c>
      <c r="E20" s="6">
        <v>6160000</v>
      </c>
      <c r="H20" t="s">
        <v>145</v>
      </c>
      <c r="I20" t="s">
        <v>146</v>
      </c>
      <c r="J20">
        <v>30</v>
      </c>
      <c r="K20">
        <v>28</v>
      </c>
      <c r="L20" t="str">
        <f t="shared" si="2"/>
        <v>가전</v>
      </c>
    </row>
    <row r="21" spans="1:12" x14ac:dyDescent="0.4">
      <c r="A21" t="s">
        <v>135</v>
      </c>
      <c r="B21" t="s">
        <v>132</v>
      </c>
      <c r="C21">
        <v>6</v>
      </c>
      <c r="D21" s="6">
        <v>1150000</v>
      </c>
      <c r="E21" s="6">
        <v>6900000</v>
      </c>
      <c r="H21" t="s">
        <v>147</v>
      </c>
      <c r="I21" t="s">
        <v>148</v>
      </c>
      <c r="J21">
        <v>55</v>
      </c>
      <c r="K21">
        <v>31</v>
      </c>
      <c r="L21" t="str">
        <f t="shared" si="2"/>
        <v>가구</v>
      </c>
    </row>
    <row r="22" spans="1:12" x14ac:dyDescent="0.4">
      <c r="A22" t="s">
        <v>141</v>
      </c>
      <c r="B22" t="s">
        <v>144</v>
      </c>
      <c r="C22">
        <v>17</v>
      </c>
      <c r="D22" s="6">
        <v>280000</v>
      </c>
      <c r="E22" s="6">
        <v>4760000</v>
      </c>
      <c r="H22" t="s">
        <v>149</v>
      </c>
      <c r="I22" t="s">
        <v>150</v>
      </c>
      <c r="J22">
        <v>150</v>
      </c>
      <c r="K22">
        <v>140</v>
      </c>
      <c r="L22" t="str">
        <f t="shared" si="2"/>
        <v>식품</v>
      </c>
    </row>
    <row r="23" spans="1:12" x14ac:dyDescent="0.4">
      <c r="A23" t="s">
        <v>131</v>
      </c>
      <c r="B23" t="s">
        <v>132</v>
      </c>
      <c r="C23">
        <v>10</v>
      </c>
      <c r="D23" s="6">
        <v>1150000</v>
      </c>
      <c r="E23" s="6">
        <v>11500000</v>
      </c>
      <c r="H23" t="s">
        <v>151</v>
      </c>
      <c r="I23" t="s">
        <v>152</v>
      </c>
      <c r="J23">
        <v>25</v>
      </c>
      <c r="K23">
        <v>19</v>
      </c>
      <c r="L23" t="str">
        <f t="shared" si="2"/>
        <v>가전</v>
      </c>
    </row>
    <row r="24" spans="1:12" x14ac:dyDescent="0.4">
      <c r="D24" t="s">
        <v>153</v>
      </c>
      <c r="E24">
        <f>ROUND(AVERAGEIF(A16:A23,"강남",C16:C23),0)</f>
        <v>15</v>
      </c>
    </row>
    <row r="25" spans="1:12" x14ac:dyDescent="0.4">
      <c r="H25" t="s">
        <v>154</v>
      </c>
    </row>
    <row r="26" spans="1:12" x14ac:dyDescent="0.4">
      <c r="A26" t="s">
        <v>155</v>
      </c>
      <c r="H26" s="5" t="s">
        <v>156</v>
      </c>
      <c r="I26" s="5" t="s">
        <v>157</v>
      </c>
    </row>
    <row r="27" spans="1:12" x14ac:dyDescent="0.4">
      <c r="A27" s="5" t="s">
        <v>158</v>
      </c>
      <c r="B27" s="5" t="s">
        <v>159</v>
      </c>
      <c r="C27" s="5" t="s">
        <v>160</v>
      </c>
      <c r="D27" s="5" t="s">
        <v>161</v>
      </c>
      <c r="E27" s="5" t="s">
        <v>162</v>
      </c>
      <c r="H27" t="s">
        <v>163</v>
      </c>
      <c r="I27" t="s">
        <v>164</v>
      </c>
    </row>
    <row r="28" spans="1:12" x14ac:dyDescent="0.4">
      <c r="A28" t="s">
        <v>165</v>
      </c>
      <c r="B28" t="s">
        <v>166</v>
      </c>
      <c r="C28">
        <v>500</v>
      </c>
      <c r="D28">
        <v>620</v>
      </c>
      <c r="E28" t="str">
        <f t="shared" ref="E28:E35" si="3">IF(_xlfn.RANK.EQ(D28,$D$28:$D$35)&lt;=3,_xlfn.RANK.EQ(D28,$D$28:$D$35)&amp;"위","")</f>
        <v>1위</v>
      </c>
      <c r="H28" t="s">
        <v>167</v>
      </c>
      <c r="I28" t="s">
        <v>168</v>
      </c>
    </row>
    <row r="29" spans="1:12" x14ac:dyDescent="0.4">
      <c r="A29" t="s">
        <v>169</v>
      </c>
      <c r="B29" t="s">
        <v>170</v>
      </c>
      <c r="C29">
        <v>450</v>
      </c>
      <c r="D29">
        <v>410</v>
      </c>
      <c r="E29" t="str">
        <f t="shared" si="3"/>
        <v/>
      </c>
      <c r="H29" t="s">
        <v>171</v>
      </c>
      <c r="I29" t="s">
        <v>172</v>
      </c>
    </row>
    <row r="30" spans="1:12" x14ac:dyDescent="0.4">
      <c r="A30" t="s">
        <v>173</v>
      </c>
      <c r="B30" t="s">
        <v>166</v>
      </c>
      <c r="C30">
        <v>500</v>
      </c>
      <c r="D30">
        <v>515</v>
      </c>
      <c r="E30" t="str">
        <f t="shared" si="3"/>
        <v>3위</v>
      </c>
    </row>
    <row r="31" spans="1:12" x14ac:dyDescent="0.4">
      <c r="A31" t="s">
        <v>174</v>
      </c>
      <c r="B31" t="s">
        <v>175</v>
      </c>
      <c r="C31">
        <v>400</v>
      </c>
      <c r="D31">
        <v>480</v>
      </c>
      <c r="E31" t="str">
        <f t="shared" si="3"/>
        <v/>
      </c>
    </row>
    <row r="32" spans="1:12" x14ac:dyDescent="0.4">
      <c r="A32" t="s">
        <v>176</v>
      </c>
      <c r="B32" t="s">
        <v>170</v>
      </c>
      <c r="C32">
        <v>450</v>
      </c>
      <c r="D32">
        <v>590</v>
      </c>
      <c r="E32" t="str">
        <f t="shared" si="3"/>
        <v>2위</v>
      </c>
    </row>
    <row r="33" spans="1:5" x14ac:dyDescent="0.4">
      <c r="A33" t="s">
        <v>177</v>
      </c>
      <c r="B33" t="s">
        <v>175</v>
      </c>
      <c r="C33">
        <v>400</v>
      </c>
      <c r="D33">
        <v>365</v>
      </c>
      <c r="E33" t="str">
        <f t="shared" si="3"/>
        <v/>
      </c>
    </row>
    <row r="34" spans="1:5" x14ac:dyDescent="0.4">
      <c r="A34" t="s">
        <v>178</v>
      </c>
      <c r="B34" t="s">
        <v>166</v>
      </c>
      <c r="C34">
        <v>500</v>
      </c>
      <c r="D34">
        <v>505</v>
      </c>
      <c r="E34" t="str">
        <f t="shared" si="3"/>
        <v/>
      </c>
    </row>
    <row r="35" spans="1:5" x14ac:dyDescent="0.4">
      <c r="A35" t="s">
        <v>179</v>
      </c>
      <c r="B35" t="s">
        <v>170</v>
      </c>
      <c r="C35">
        <v>450</v>
      </c>
      <c r="D35">
        <v>430</v>
      </c>
      <c r="E35" t="str">
        <f t="shared" si="3"/>
        <v/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M27"/>
  <sheetViews>
    <sheetView workbookViewId="0"/>
  </sheetViews>
  <sheetFormatPr defaultRowHeight="17.399999999999999" x14ac:dyDescent="0.4"/>
  <cols>
    <col min="1" max="1" width="12" customWidth="1"/>
    <col min="2" max="2" width="8" customWidth="1"/>
    <col min="3" max="4" width="9" customWidth="1"/>
    <col min="5" max="5" width="7" customWidth="1"/>
    <col min="6" max="6" width="10" customWidth="1"/>
    <col min="7" max="7" width="12" customWidth="1"/>
    <col min="9" max="9" width="10.296875" bestFit="1" customWidth="1"/>
    <col min="10" max="12" width="10.59765625" bestFit="1" customWidth="1"/>
    <col min="13" max="13" width="9.3984375" bestFit="1" customWidth="1"/>
  </cols>
  <sheetData>
    <row r="3" spans="1:13" x14ac:dyDescent="0.4">
      <c r="A3" s="5" t="s">
        <v>180</v>
      </c>
      <c r="B3" s="5" t="s">
        <v>47</v>
      </c>
      <c r="C3" s="5" t="s">
        <v>46</v>
      </c>
      <c r="D3" s="5" t="s">
        <v>181</v>
      </c>
      <c r="E3" s="5" t="s">
        <v>125</v>
      </c>
      <c r="F3" s="5" t="s">
        <v>49</v>
      </c>
      <c r="G3" s="5" t="s">
        <v>126</v>
      </c>
      <c r="I3" s="14" t="s">
        <v>257</v>
      </c>
      <c r="J3" s="14" t="s">
        <v>181</v>
      </c>
    </row>
    <row r="4" spans="1:13" x14ac:dyDescent="0.4">
      <c r="A4" s="1">
        <v>46235</v>
      </c>
      <c r="B4" t="s">
        <v>131</v>
      </c>
      <c r="C4" t="s">
        <v>52</v>
      </c>
      <c r="D4" t="s">
        <v>172</v>
      </c>
      <c r="E4">
        <v>8</v>
      </c>
      <c r="F4" s="6">
        <v>320000</v>
      </c>
      <c r="G4" s="6">
        <v>2560000</v>
      </c>
      <c r="I4" s="14" t="s">
        <v>47</v>
      </c>
      <c r="J4" t="s">
        <v>168</v>
      </c>
      <c r="K4" t="s">
        <v>172</v>
      </c>
      <c r="L4" t="s">
        <v>164</v>
      </c>
      <c r="M4" t="s">
        <v>256</v>
      </c>
    </row>
    <row r="5" spans="1:13" x14ac:dyDescent="0.4">
      <c r="A5" s="1">
        <v>46236</v>
      </c>
      <c r="B5" t="s">
        <v>135</v>
      </c>
      <c r="C5" t="s">
        <v>60</v>
      </c>
      <c r="D5" t="s">
        <v>168</v>
      </c>
      <c r="E5">
        <v>16</v>
      </c>
      <c r="F5" s="6">
        <v>180000</v>
      </c>
      <c r="G5" s="6">
        <v>2880000</v>
      </c>
      <c r="I5" t="s">
        <v>131</v>
      </c>
      <c r="J5" s="15">
        <v>10080000</v>
      </c>
      <c r="K5" s="15">
        <v>12480000</v>
      </c>
      <c r="L5" s="15">
        <v>925000</v>
      </c>
      <c r="M5" s="15">
        <v>23485000</v>
      </c>
    </row>
    <row r="6" spans="1:13" x14ac:dyDescent="0.4">
      <c r="A6" s="1">
        <v>46237</v>
      </c>
      <c r="B6" t="s">
        <v>141</v>
      </c>
      <c r="C6" t="s">
        <v>62</v>
      </c>
      <c r="D6" t="s">
        <v>164</v>
      </c>
      <c r="E6">
        <v>25</v>
      </c>
      <c r="F6" s="6">
        <v>25000</v>
      </c>
      <c r="G6" s="6">
        <v>625000</v>
      </c>
      <c r="I6" t="s">
        <v>135</v>
      </c>
      <c r="J6" s="15">
        <v>6660000</v>
      </c>
      <c r="K6" s="15">
        <v>12480000</v>
      </c>
      <c r="L6" s="15">
        <v>1175000</v>
      </c>
      <c r="M6" s="15">
        <v>20315000</v>
      </c>
    </row>
    <row r="7" spans="1:13" x14ac:dyDescent="0.4">
      <c r="A7" s="1">
        <v>46238</v>
      </c>
      <c r="B7" t="s">
        <v>131</v>
      </c>
      <c r="C7" t="s">
        <v>55</v>
      </c>
      <c r="D7" t="s">
        <v>168</v>
      </c>
      <c r="E7">
        <v>16</v>
      </c>
      <c r="F7" s="6">
        <v>180000</v>
      </c>
      <c r="G7" s="6">
        <v>2880000</v>
      </c>
      <c r="I7" t="s">
        <v>141</v>
      </c>
      <c r="J7" s="15">
        <v>6660000</v>
      </c>
      <c r="K7" s="15">
        <v>11520000</v>
      </c>
      <c r="L7" s="15">
        <v>1675000</v>
      </c>
      <c r="M7" s="15">
        <v>19855000</v>
      </c>
    </row>
    <row r="8" spans="1:13" x14ac:dyDescent="0.4">
      <c r="A8" s="1">
        <v>46239</v>
      </c>
      <c r="B8" t="s">
        <v>135</v>
      </c>
      <c r="C8" t="s">
        <v>58</v>
      </c>
      <c r="D8" t="s">
        <v>164</v>
      </c>
      <c r="E8">
        <v>23</v>
      </c>
      <c r="F8" s="6">
        <v>25000</v>
      </c>
      <c r="G8" s="6">
        <v>575000</v>
      </c>
      <c r="I8" t="s">
        <v>256</v>
      </c>
      <c r="J8" s="15">
        <v>23400000</v>
      </c>
      <c r="K8" s="15">
        <v>36480000</v>
      </c>
      <c r="L8" s="15">
        <v>3775000</v>
      </c>
      <c r="M8" s="15">
        <v>63655000</v>
      </c>
    </row>
    <row r="9" spans="1:13" x14ac:dyDescent="0.4">
      <c r="A9" s="1">
        <v>46240</v>
      </c>
      <c r="B9" t="s">
        <v>141</v>
      </c>
      <c r="C9" t="s">
        <v>63</v>
      </c>
      <c r="D9" t="s">
        <v>172</v>
      </c>
      <c r="E9">
        <v>12</v>
      </c>
      <c r="F9" s="6">
        <v>320000</v>
      </c>
      <c r="G9" s="6">
        <v>3840000</v>
      </c>
    </row>
    <row r="10" spans="1:13" x14ac:dyDescent="0.4">
      <c r="A10" s="1">
        <v>46241</v>
      </c>
      <c r="B10" t="s">
        <v>131</v>
      </c>
      <c r="C10" t="s">
        <v>52</v>
      </c>
      <c r="D10" t="s">
        <v>164</v>
      </c>
      <c r="E10">
        <v>18</v>
      </c>
      <c r="F10" s="6">
        <v>25000</v>
      </c>
      <c r="G10" s="6">
        <v>450000</v>
      </c>
    </row>
    <row r="11" spans="1:13" x14ac:dyDescent="0.4">
      <c r="A11" s="1">
        <v>46242</v>
      </c>
      <c r="B11" t="s">
        <v>135</v>
      </c>
      <c r="C11" t="s">
        <v>60</v>
      </c>
      <c r="D11" t="s">
        <v>172</v>
      </c>
      <c r="E11">
        <v>29</v>
      </c>
      <c r="F11" s="6">
        <v>320000</v>
      </c>
      <c r="G11" s="6">
        <v>9280000</v>
      </c>
    </row>
    <row r="12" spans="1:13" x14ac:dyDescent="0.4">
      <c r="A12" s="1">
        <v>46243</v>
      </c>
      <c r="B12" t="s">
        <v>141</v>
      </c>
      <c r="C12" t="s">
        <v>62</v>
      </c>
      <c r="D12" t="s">
        <v>168</v>
      </c>
      <c r="E12">
        <v>9</v>
      </c>
      <c r="F12" s="6">
        <v>180000</v>
      </c>
      <c r="G12" s="6">
        <v>1620000</v>
      </c>
    </row>
    <row r="13" spans="1:13" x14ac:dyDescent="0.4">
      <c r="A13" s="1">
        <v>46244</v>
      </c>
      <c r="B13" t="s">
        <v>131</v>
      </c>
      <c r="C13" t="s">
        <v>55</v>
      </c>
      <c r="D13" t="s">
        <v>172</v>
      </c>
      <c r="E13">
        <v>28</v>
      </c>
      <c r="F13" s="6">
        <v>320000</v>
      </c>
      <c r="G13" s="6">
        <v>8960000</v>
      </c>
    </row>
    <row r="14" spans="1:13" x14ac:dyDescent="0.4">
      <c r="A14" s="1">
        <v>46245</v>
      </c>
      <c r="B14" t="s">
        <v>135</v>
      </c>
      <c r="C14" t="s">
        <v>58</v>
      </c>
      <c r="D14" t="s">
        <v>168</v>
      </c>
      <c r="E14">
        <v>18</v>
      </c>
      <c r="F14" s="6">
        <v>180000</v>
      </c>
      <c r="G14" s="6">
        <v>3240000</v>
      </c>
    </row>
    <row r="15" spans="1:13" x14ac:dyDescent="0.4">
      <c r="A15" s="1">
        <v>46246</v>
      </c>
      <c r="B15" t="s">
        <v>141</v>
      </c>
      <c r="C15" t="s">
        <v>63</v>
      </c>
      <c r="D15" t="s">
        <v>164</v>
      </c>
      <c r="E15">
        <v>28</v>
      </c>
      <c r="F15" s="6">
        <v>25000</v>
      </c>
      <c r="G15" s="6">
        <v>700000</v>
      </c>
    </row>
    <row r="16" spans="1:13" x14ac:dyDescent="0.4">
      <c r="A16" s="1">
        <v>46247</v>
      </c>
      <c r="B16" t="s">
        <v>131</v>
      </c>
      <c r="C16" t="s">
        <v>52</v>
      </c>
      <c r="D16" t="s">
        <v>168</v>
      </c>
      <c r="E16">
        <v>19</v>
      </c>
      <c r="F16" s="6">
        <v>180000</v>
      </c>
      <c r="G16" s="6">
        <v>3420000</v>
      </c>
    </row>
    <row r="17" spans="1:7" x14ac:dyDescent="0.4">
      <c r="A17" s="1">
        <v>46248</v>
      </c>
      <c r="B17" t="s">
        <v>135</v>
      </c>
      <c r="C17" t="s">
        <v>60</v>
      </c>
      <c r="D17" t="s">
        <v>164</v>
      </c>
      <c r="E17">
        <v>8</v>
      </c>
      <c r="F17" s="6">
        <v>25000</v>
      </c>
      <c r="G17" s="6">
        <v>200000</v>
      </c>
    </row>
    <row r="18" spans="1:7" x14ac:dyDescent="0.4">
      <c r="A18" s="1">
        <v>46249</v>
      </c>
      <c r="B18" t="s">
        <v>141</v>
      </c>
      <c r="C18" t="s">
        <v>62</v>
      </c>
      <c r="D18" t="s">
        <v>172</v>
      </c>
      <c r="E18">
        <v>19</v>
      </c>
      <c r="F18" s="6">
        <v>320000</v>
      </c>
      <c r="G18" s="6">
        <v>6080000</v>
      </c>
    </row>
    <row r="19" spans="1:7" x14ac:dyDescent="0.4">
      <c r="A19" s="1">
        <v>46250</v>
      </c>
      <c r="B19" t="s">
        <v>131</v>
      </c>
      <c r="C19" t="s">
        <v>55</v>
      </c>
      <c r="D19" t="s">
        <v>164</v>
      </c>
      <c r="E19">
        <v>19</v>
      </c>
      <c r="F19" s="6">
        <v>25000</v>
      </c>
      <c r="G19" s="6">
        <v>475000</v>
      </c>
    </row>
    <row r="20" spans="1:7" x14ac:dyDescent="0.4">
      <c r="A20" s="1">
        <v>46251</v>
      </c>
      <c r="B20" t="s">
        <v>135</v>
      </c>
      <c r="C20" t="s">
        <v>58</v>
      </c>
      <c r="D20" t="s">
        <v>172</v>
      </c>
      <c r="E20">
        <v>10</v>
      </c>
      <c r="F20" s="6">
        <v>320000</v>
      </c>
      <c r="G20" s="6">
        <v>3200000</v>
      </c>
    </row>
    <row r="21" spans="1:7" x14ac:dyDescent="0.4">
      <c r="A21" s="1">
        <v>46252</v>
      </c>
      <c r="B21" t="s">
        <v>141</v>
      </c>
      <c r="C21" t="s">
        <v>63</v>
      </c>
      <c r="D21" t="s">
        <v>168</v>
      </c>
      <c r="E21">
        <v>28</v>
      </c>
      <c r="F21" s="6">
        <v>180000</v>
      </c>
      <c r="G21" s="6">
        <v>5040000</v>
      </c>
    </row>
    <row r="22" spans="1:7" x14ac:dyDescent="0.4">
      <c r="A22" s="1">
        <v>46253</v>
      </c>
      <c r="B22" t="s">
        <v>131</v>
      </c>
      <c r="C22" t="s">
        <v>52</v>
      </c>
      <c r="D22" t="s">
        <v>172</v>
      </c>
      <c r="E22">
        <v>3</v>
      </c>
      <c r="F22" s="6">
        <v>320000</v>
      </c>
      <c r="G22" s="6">
        <v>960000</v>
      </c>
    </row>
    <row r="23" spans="1:7" x14ac:dyDescent="0.4">
      <c r="A23" s="1">
        <v>46254</v>
      </c>
      <c r="B23" t="s">
        <v>135</v>
      </c>
      <c r="C23" t="s">
        <v>60</v>
      </c>
      <c r="D23" t="s">
        <v>168</v>
      </c>
      <c r="E23">
        <v>3</v>
      </c>
      <c r="F23" s="6">
        <v>180000</v>
      </c>
      <c r="G23" s="6">
        <v>540000</v>
      </c>
    </row>
    <row r="24" spans="1:7" x14ac:dyDescent="0.4">
      <c r="A24" s="1">
        <v>46255</v>
      </c>
      <c r="B24" t="s">
        <v>141</v>
      </c>
      <c r="C24" t="s">
        <v>62</v>
      </c>
      <c r="D24" t="s">
        <v>164</v>
      </c>
      <c r="E24">
        <v>14</v>
      </c>
      <c r="F24" s="6">
        <v>25000</v>
      </c>
      <c r="G24" s="6">
        <v>350000</v>
      </c>
    </row>
    <row r="25" spans="1:7" x14ac:dyDescent="0.4">
      <c r="A25" s="1">
        <v>46256</v>
      </c>
      <c r="B25" t="s">
        <v>131</v>
      </c>
      <c r="C25" t="s">
        <v>55</v>
      </c>
      <c r="D25" t="s">
        <v>168</v>
      </c>
      <c r="E25">
        <v>21</v>
      </c>
      <c r="F25" s="6">
        <v>180000</v>
      </c>
      <c r="G25" s="6">
        <v>3780000</v>
      </c>
    </row>
    <row r="26" spans="1:7" x14ac:dyDescent="0.4">
      <c r="A26" s="1">
        <v>46257</v>
      </c>
      <c r="B26" t="s">
        <v>135</v>
      </c>
      <c r="C26" t="s">
        <v>58</v>
      </c>
      <c r="D26" t="s">
        <v>164</v>
      </c>
      <c r="E26">
        <v>16</v>
      </c>
      <c r="F26" s="6">
        <v>25000</v>
      </c>
      <c r="G26" s="6">
        <v>400000</v>
      </c>
    </row>
    <row r="27" spans="1:7" x14ac:dyDescent="0.4">
      <c r="A27" s="1">
        <v>46258</v>
      </c>
      <c r="B27" t="s">
        <v>141</v>
      </c>
      <c r="C27" t="s">
        <v>63</v>
      </c>
      <c r="D27" t="s">
        <v>172</v>
      </c>
      <c r="E27">
        <v>5</v>
      </c>
      <c r="F27" s="6">
        <v>320000</v>
      </c>
      <c r="G27" s="6">
        <v>1600000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F23"/>
  <sheetViews>
    <sheetView workbookViewId="0">
      <selection activeCell="A4" sqref="A4:F15"/>
    </sheetView>
  </sheetViews>
  <sheetFormatPr defaultRowHeight="17.399999999999999" outlineLevelRow="3" x14ac:dyDescent="0.4"/>
  <cols>
    <col min="1" max="1" width="8" customWidth="1"/>
    <col min="2" max="3" width="9" customWidth="1"/>
    <col min="4" max="4" width="8" customWidth="1"/>
    <col min="5" max="5" width="12" customWidth="1"/>
    <col min="6" max="6" width="11" customWidth="1"/>
  </cols>
  <sheetData>
    <row r="3" spans="1:6" x14ac:dyDescent="0.4">
      <c r="A3" s="5" t="s">
        <v>182</v>
      </c>
      <c r="B3" s="5" t="s">
        <v>74</v>
      </c>
      <c r="C3" s="5" t="s">
        <v>159</v>
      </c>
      <c r="D3" s="5" t="s">
        <v>183</v>
      </c>
      <c r="E3" s="5" t="s">
        <v>184</v>
      </c>
      <c r="F3" s="5" t="s">
        <v>185</v>
      </c>
    </row>
    <row r="4" spans="1:6" outlineLevel="3" x14ac:dyDescent="0.4">
      <c r="A4" t="s">
        <v>196</v>
      </c>
      <c r="B4" t="s">
        <v>197</v>
      </c>
      <c r="C4" t="s">
        <v>198</v>
      </c>
      <c r="D4" t="s">
        <v>199</v>
      </c>
      <c r="E4" s="6">
        <v>5800000</v>
      </c>
      <c r="F4" s="6">
        <v>300000</v>
      </c>
    </row>
    <row r="5" spans="1:6" outlineLevel="3" x14ac:dyDescent="0.4">
      <c r="A5" t="s">
        <v>202</v>
      </c>
      <c r="B5" t="s">
        <v>203</v>
      </c>
      <c r="C5" t="s">
        <v>198</v>
      </c>
      <c r="D5" t="s">
        <v>189</v>
      </c>
      <c r="E5" s="6">
        <v>3550000</v>
      </c>
      <c r="F5" s="6">
        <v>350000</v>
      </c>
    </row>
    <row r="6" spans="1:6" outlineLevel="3" x14ac:dyDescent="0.4">
      <c r="A6" t="s">
        <v>208</v>
      </c>
      <c r="B6" t="s">
        <v>209</v>
      </c>
      <c r="C6" t="s">
        <v>198</v>
      </c>
      <c r="D6" t="s">
        <v>158</v>
      </c>
      <c r="E6" s="6">
        <v>2950000</v>
      </c>
      <c r="F6" s="6">
        <v>280000</v>
      </c>
    </row>
    <row r="7" spans="1:6" outlineLevel="3" x14ac:dyDescent="0.4">
      <c r="A7" t="s">
        <v>212</v>
      </c>
      <c r="B7" t="s">
        <v>213</v>
      </c>
      <c r="C7" t="s">
        <v>198</v>
      </c>
      <c r="D7" t="s">
        <v>193</v>
      </c>
      <c r="E7" s="6">
        <v>4350000</v>
      </c>
      <c r="F7" s="6">
        <v>330000</v>
      </c>
    </row>
    <row r="8" spans="1:6" outlineLevel="2" x14ac:dyDescent="0.4">
      <c r="C8" s="16" t="s">
        <v>262</v>
      </c>
      <c r="E8" s="6"/>
      <c r="F8" s="6">
        <f>SUBTOTAL(1,F4:F7)</f>
        <v>315000</v>
      </c>
    </row>
    <row r="9" spans="1:6" outlineLevel="1" x14ac:dyDescent="0.4">
      <c r="C9" s="16" t="s">
        <v>258</v>
      </c>
      <c r="E9" s="6">
        <f>SUBTOTAL(4,E4:E7)</f>
        <v>5800000</v>
      </c>
      <c r="F9" s="6"/>
    </row>
    <row r="10" spans="1:6" outlineLevel="3" x14ac:dyDescent="0.4">
      <c r="A10" t="s">
        <v>186</v>
      </c>
      <c r="B10" t="s">
        <v>187</v>
      </c>
      <c r="C10" t="s">
        <v>188</v>
      </c>
      <c r="D10" t="s">
        <v>189</v>
      </c>
      <c r="E10" s="6">
        <v>3600000</v>
      </c>
      <c r="F10" s="6">
        <v>420000</v>
      </c>
    </row>
    <row r="11" spans="1:6" outlineLevel="3" x14ac:dyDescent="0.4">
      <c r="A11" t="s">
        <v>194</v>
      </c>
      <c r="B11" t="s">
        <v>195</v>
      </c>
      <c r="C11" t="s">
        <v>188</v>
      </c>
      <c r="D11" t="s">
        <v>158</v>
      </c>
      <c r="E11" s="6">
        <v>2900000</v>
      </c>
      <c r="F11" s="6">
        <v>510000</v>
      </c>
    </row>
    <row r="12" spans="1:6" outlineLevel="3" x14ac:dyDescent="0.4">
      <c r="A12" t="s">
        <v>204</v>
      </c>
      <c r="B12" t="s">
        <v>205</v>
      </c>
      <c r="C12" t="s">
        <v>188</v>
      </c>
      <c r="D12" t="s">
        <v>193</v>
      </c>
      <c r="E12" s="6">
        <v>4400000</v>
      </c>
      <c r="F12" s="6">
        <v>640000</v>
      </c>
    </row>
    <row r="13" spans="1:6" outlineLevel="3" x14ac:dyDescent="0.4">
      <c r="A13" t="s">
        <v>210</v>
      </c>
      <c r="B13" t="s">
        <v>211</v>
      </c>
      <c r="C13" t="s">
        <v>188</v>
      </c>
      <c r="D13" t="s">
        <v>199</v>
      </c>
      <c r="E13" s="6">
        <v>5900000</v>
      </c>
      <c r="F13" s="6">
        <v>700000</v>
      </c>
    </row>
    <row r="14" spans="1:6" outlineLevel="2" x14ac:dyDescent="0.4">
      <c r="C14" s="16" t="s">
        <v>263</v>
      </c>
      <c r="E14" s="6"/>
      <c r="F14" s="6">
        <f>SUBTOTAL(1,F10:F13)</f>
        <v>567500</v>
      </c>
    </row>
    <row r="15" spans="1:6" outlineLevel="1" x14ac:dyDescent="0.4">
      <c r="C15" s="16" t="s">
        <v>259</v>
      </c>
      <c r="E15" s="6">
        <f>SUBTOTAL(4,E10:E13)</f>
        <v>5900000</v>
      </c>
      <c r="F15" s="6"/>
    </row>
    <row r="16" spans="1:6" outlineLevel="3" x14ac:dyDescent="0.4">
      <c r="A16" t="s">
        <v>190</v>
      </c>
      <c r="B16" t="s">
        <v>191</v>
      </c>
      <c r="C16" t="s">
        <v>192</v>
      </c>
      <c r="D16" t="s">
        <v>193</v>
      </c>
      <c r="E16" s="6">
        <v>4300000</v>
      </c>
      <c r="F16" s="6">
        <v>380000</v>
      </c>
    </row>
    <row r="17" spans="1:6" outlineLevel="3" x14ac:dyDescent="0.4">
      <c r="A17" t="s">
        <v>200</v>
      </c>
      <c r="B17" t="s">
        <v>201</v>
      </c>
      <c r="C17" t="s">
        <v>192</v>
      </c>
      <c r="D17" t="s">
        <v>158</v>
      </c>
      <c r="E17" s="6">
        <v>2850000</v>
      </c>
      <c r="F17" s="6">
        <v>260000</v>
      </c>
    </row>
    <row r="18" spans="1:6" outlineLevel="3" x14ac:dyDescent="0.4">
      <c r="A18" t="s">
        <v>206</v>
      </c>
      <c r="B18" t="s">
        <v>207</v>
      </c>
      <c r="C18" t="s">
        <v>192</v>
      </c>
      <c r="D18" t="s">
        <v>189</v>
      </c>
      <c r="E18" s="6">
        <v>3500000</v>
      </c>
      <c r="F18" s="6">
        <v>300000</v>
      </c>
    </row>
    <row r="19" spans="1:6" outlineLevel="3" x14ac:dyDescent="0.4">
      <c r="A19" t="s">
        <v>214</v>
      </c>
      <c r="B19" t="s">
        <v>215</v>
      </c>
      <c r="C19" t="s">
        <v>192</v>
      </c>
      <c r="D19" t="s">
        <v>199</v>
      </c>
      <c r="E19" s="6">
        <v>5700000</v>
      </c>
      <c r="F19" s="6">
        <v>290000</v>
      </c>
    </row>
    <row r="20" spans="1:6" outlineLevel="2" x14ac:dyDescent="0.4">
      <c r="C20" s="16" t="s">
        <v>264</v>
      </c>
      <c r="E20" s="6"/>
      <c r="F20" s="6">
        <f>SUBTOTAL(1,F16:F19)</f>
        <v>307500</v>
      </c>
    </row>
    <row r="21" spans="1:6" outlineLevel="1" x14ac:dyDescent="0.4">
      <c r="C21" s="16" t="s">
        <v>260</v>
      </c>
      <c r="E21" s="6">
        <f>SUBTOTAL(4,E16:E19)</f>
        <v>5700000</v>
      </c>
      <c r="F21" s="6"/>
    </row>
    <row r="22" spans="1:6" x14ac:dyDescent="0.4">
      <c r="C22" s="16" t="s">
        <v>265</v>
      </c>
      <c r="E22" s="6"/>
      <c r="F22" s="6">
        <f>SUBTOTAL(1,F4:F19)</f>
        <v>396666.66666666669</v>
      </c>
    </row>
    <row r="23" spans="1:6" x14ac:dyDescent="0.4">
      <c r="C23" s="16" t="s">
        <v>261</v>
      </c>
      <c r="E23" s="6">
        <f>SUBTOTAL(4,E4:E19)</f>
        <v>5900000</v>
      </c>
      <c r="F23" s="6"/>
    </row>
  </sheetData>
  <sortState ref="A4:F19">
    <sortCondition ref="C4:C19"/>
  </sortState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workbookViewId="0"/>
  </sheetViews>
  <sheetFormatPr defaultRowHeight="17.399999999999999" x14ac:dyDescent="0.4"/>
  <sheetData>
    <row r="1" spans="1:8" x14ac:dyDescent="0.4">
      <c r="A1" t="s">
        <v>216</v>
      </c>
    </row>
    <row r="3" spans="1:8" x14ac:dyDescent="0.4">
      <c r="A3" s="17" t="s">
        <v>48</v>
      </c>
      <c r="B3" s="17" t="s">
        <v>217</v>
      </c>
      <c r="C3" s="17" t="s">
        <v>218</v>
      </c>
      <c r="D3" s="17" t="s">
        <v>219</v>
      </c>
      <c r="E3" s="17" t="s">
        <v>220</v>
      </c>
      <c r="F3" s="17" t="s">
        <v>221</v>
      </c>
      <c r="H3" t="s">
        <v>222</v>
      </c>
    </row>
    <row r="4" spans="1:8" x14ac:dyDescent="0.4">
      <c r="A4" s="3" t="s">
        <v>132</v>
      </c>
      <c r="B4" s="3">
        <v>120</v>
      </c>
      <c r="C4" s="3">
        <v>135</v>
      </c>
      <c r="D4" s="3">
        <v>128</v>
      </c>
      <c r="E4" s="3">
        <f t="shared" ref="E4:E10" si="0">SUM(B4:D4)</f>
        <v>383</v>
      </c>
      <c r="F4" s="3"/>
    </row>
    <row r="5" spans="1:8" x14ac:dyDescent="0.4">
      <c r="A5" s="3" t="s">
        <v>136</v>
      </c>
      <c r="B5" s="3">
        <v>85</v>
      </c>
      <c r="C5" s="3">
        <v>92</v>
      </c>
      <c r="D5" s="3">
        <v>101</v>
      </c>
      <c r="E5" s="3">
        <f t="shared" si="0"/>
        <v>278</v>
      </c>
      <c r="F5" s="3"/>
    </row>
    <row r="6" spans="1:8" x14ac:dyDescent="0.4">
      <c r="A6" s="3" t="s">
        <v>144</v>
      </c>
      <c r="B6" s="3">
        <v>140</v>
      </c>
      <c r="C6" s="3">
        <v>128</v>
      </c>
      <c r="D6" s="3">
        <v>150</v>
      </c>
      <c r="E6" s="3">
        <f t="shared" si="0"/>
        <v>418</v>
      </c>
      <c r="F6" s="3"/>
    </row>
    <row r="7" spans="1:8" x14ac:dyDescent="0.4">
      <c r="A7" s="3" t="s">
        <v>223</v>
      </c>
      <c r="B7" s="3">
        <v>210</v>
      </c>
      <c r="C7" s="3">
        <v>198</v>
      </c>
      <c r="D7" s="3">
        <v>225</v>
      </c>
      <c r="E7" s="3">
        <f t="shared" si="0"/>
        <v>633</v>
      </c>
      <c r="F7" s="3"/>
    </row>
    <row r="8" spans="1:8" x14ac:dyDescent="0.4">
      <c r="A8" s="3" t="s">
        <v>224</v>
      </c>
      <c r="B8" s="3">
        <v>260</v>
      </c>
      <c r="C8" s="3">
        <v>274</v>
      </c>
      <c r="D8" s="3">
        <v>251</v>
      </c>
      <c r="E8" s="3">
        <f t="shared" si="0"/>
        <v>785</v>
      </c>
      <c r="F8" s="3"/>
    </row>
    <row r="9" spans="1:8" x14ac:dyDescent="0.4">
      <c r="A9" s="3" t="s">
        <v>225</v>
      </c>
      <c r="B9" s="3">
        <v>45</v>
      </c>
      <c r="C9" s="3">
        <v>52</v>
      </c>
      <c r="D9" s="3">
        <v>48</v>
      </c>
      <c r="E9" s="3">
        <f t="shared" si="0"/>
        <v>145</v>
      </c>
      <c r="F9" s="3"/>
    </row>
    <row r="10" spans="1:8" x14ac:dyDescent="0.4">
      <c r="A10" s="3" t="s">
        <v>226</v>
      </c>
      <c r="B10" s="3">
        <v>70</v>
      </c>
      <c r="C10" s="3">
        <v>66</v>
      </c>
      <c r="D10" s="3">
        <v>81</v>
      </c>
      <c r="E10" s="3">
        <f t="shared" si="0"/>
        <v>217</v>
      </c>
      <c r="F10" s="3"/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"/>
  <sheetViews>
    <sheetView workbookViewId="0"/>
  </sheetViews>
  <sheetFormatPr defaultRowHeight="17.399999999999999" x14ac:dyDescent="0.4"/>
  <sheetData>
    <row r="1" spans="1:5" x14ac:dyDescent="0.4">
      <c r="A1" t="s">
        <v>227</v>
      </c>
    </row>
    <row r="3" spans="1:5" x14ac:dyDescent="0.4">
      <c r="A3" s="2" t="s">
        <v>74</v>
      </c>
      <c r="B3" s="2" t="s">
        <v>75</v>
      </c>
      <c r="C3" s="2" t="s">
        <v>76</v>
      </c>
      <c r="D3" s="2" t="s">
        <v>77</v>
      </c>
      <c r="E3" s="2" t="s">
        <v>221</v>
      </c>
    </row>
    <row r="4" spans="1:5" x14ac:dyDescent="0.4">
      <c r="A4" s="3" t="s">
        <v>84</v>
      </c>
      <c r="B4" s="3">
        <v>92</v>
      </c>
      <c r="C4" s="3">
        <v>88</v>
      </c>
      <c r="D4" s="3">
        <v>85</v>
      </c>
      <c r="E4" s="7">
        <v>88.3</v>
      </c>
    </row>
    <row r="5" spans="1:5" x14ac:dyDescent="0.4">
      <c r="A5" s="3" t="s">
        <v>89</v>
      </c>
      <c r="B5" s="3">
        <v>75</v>
      </c>
      <c r="C5" s="3">
        <v>68</v>
      </c>
      <c r="D5" s="3">
        <v>72</v>
      </c>
      <c r="E5" s="7">
        <v>71.7</v>
      </c>
    </row>
    <row r="6" spans="1:5" x14ac:dyDescent="0.4">
      <c r="A6" s="3" t="s">
        <v>94</v>
      </c>
      <c r="B6" s="3">
        <v>64</v>
      </c>
      <c r="C6" s="3">
        <v>70</v>
      </c>
      <c r="D6" s="3">
        <v>58</v>
      </c>
      <c r="E6" s="7">
        <v>64</v>
      </c>
    </row>
    <row r="7" spans="1:5" x14ac:dyDescent="0.4">
      <c r="A7" s="3" t="s">
        <v>99</v>
      </c>
      <c r="B7" s="3">
        <v>88</v>
      </c>
      <c r="C7" s="3">
        <v>79</v>
      </c>
      <c r="D7" s="3">
        <v>90</v>
      </c>
      <c r="E7" s="7">
        <v>85.7</v>
      </c>
    </row>
    <row r="8" spans="1:5" x14ac:dyDescent="0.4">
      <c r="A8" s="3" t="s">
        <v>104</v>
      </c>
      <c r="B8" s="3">
        <v>55</v>
      </c>
      <c r="C8" s="3">
        <v>62</v>
      </c>
      <c r="D8" s="3">
        <v>60</v>
      </c>
      <c r="E8" s="7">
        <v>59</v>
      </c>
    </row>
    <row r="9" spans="1:5" x14ac:dyDescent="0.4">
      <c r="A9" s="3" t="s">
        <v>109</v>
      </c>
      <c r="B9" s="3">
        <v>81</v>
      </c>
      <c r="C9" s="3">
        <v>85</v>
      </c>
      <c r="D9" s="3">
        <v>86</v>
      </c>
      <c r="E9" s="7">
        <v>84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1</vt:i4>
      </vt:variant>
    </vt:vector>
  </HeadingPairs>
  <TitlesOfParts>
    <vt:vector size="9" baseType="lpstr">
      <vt:lpstr>기본작업-1</vt:lpstr>
      <vt:lpstr>기본작업-2</vt:lpstr>
      <vt:lpstr>기본작업-3</vt:lpstr>
      <vt:lpstr>계산작업</vt:lpstr>
      <vt:lpstr>분석작업-1</vt:lpstr>
      <vt:lpstr>분석작업-2</vt:lpstr>
      <vt:lpstr>기타작업-1</vt:lpstr>
      <vt:lpstr>기타작업-2</vt:lpstr>
      <vt:lpstr>저자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2026-10-03T09:02:16Z</dcterms:created>
  <dcterms:modified xsi:type="dcterms:W3CDTF">2026-10-03T09:02:22Z</dcterms:modified>
</cp:coreProperties>
</file>