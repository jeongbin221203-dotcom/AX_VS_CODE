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AX_VS_CODE\study\EX\tests\fixtures\"/>
    </mc:Choice>
  </mc:AlternateContent>
  <xr:revisionPtr revIDLastSave="0" documentId="8_{056711DB-BB0E-4000-BBED-6F57DD242214}" xr6:coauthVersionLast="36" xr6:coauthVersionMax="36" xr10:uidLastSave="{00000000-0000-0000-0000-000000000000}"/>
  <bookViews>
    <workbookView xWindow="0" yWindow="0" windowWidth="23040" windowHeight="11184" xr2:uid="{00000000-000D-0000-FFFF-FFFF00000000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functionGroups builtInGroupCount="19"/>
  <definedNames>
    <definedName name="_xlnm._FilterDatabase" localSheetId="0" hidden="1">'기본작업-1'!$A$2:$H$22</definedName>
    <definedName name="_xlnm.Criteria" localSheetId="0">'기본작업-1'!$A$25:$A$26</definedName>
    <definedName name="_xlnm.Extract" localSheetId="0">'기본작업-1'!$A$28:$E$28</definedName>
    <definedName name="_xlnm.Print_Area" localSheetId="1">'기본작업-2'!$A$3:$G$20</definedName>
    <definedName name="_xlnm.Print_Titles" localSheetId="1">'기본작업-2'!$3:$3</definedName>
  </definedNames>
  <calcPr calcId="191029"/>
  <pivotCaches>
    <pivotCache cacheId="5" r:id="rId9"/>
  </pivotCaches>
</workbook>
</file>

<file path=xl/calcChain.xml><?xml version="1.0" encoding="utf-8"?>
<calcChain xmlns="http://schemas.openxmlformats.org/spreadsheetml/2006/main">
  <c r="F4" i="7" l="1"/>
  <c r="F5" i="7"/>
  <c r="F6" i="7"/>
  <c r="F7" i="7"/>
  <c r="F8" i="7"/>
  <c r="F9" i="7"/>
  <c r="F10" i="7"/>
  <c r="L45" i="3"/>
  <c r="F34" i="3"/>
  <c r="F35" i="3"/>
  <c r="F36" i="3"/>
  <c r="F37" i="3"/>
  <c r="F38" i="3"/>
  <c r="F39" i="3"/>
  <c r="F40" i="3"/>
  <c r="F41" i="3"/>
  <c r="F42" i="3"/>
  <c r="F43" i="3"/>
  <c r="F20" i="3"/>
  <c r="F21" i="3"/>
  <c r="F22" i="3"/>
  <c r="F23" i="3"/>
  <c r="F24" i="3"/>
  <c r="F25" i="3"/>
  <c r="F26" i="3"/>
  <c r="F27" i="3"/>
  <c r="F28" i="3"/>
  <c r="F29" i="3"/>
  <c r="L6" i="3" a="1"/>
  <c r="L6" i="3" s="1"/>
  <c r="K6" i="3" a="1"/>
  <c r="K6" i="3" s="1"/>
  <c r="J6" i="3" a="1"/>
  <c r="J6" i="3" s="1"/>
  <c r="L5" i="3" a="1"/>
  <c r="L5" i="3" s="1"/>
  <c r="K5" i="3" a="1"/>
  <c r="K5" i="3" s="1"/>
  <c r="J5" i="3" a="1"/>
  <c r="J5" i="3" s="1"/>
  <c r="L4" i="3" a="1"/>
  <c r="L4" i="3" s="1"/>
  <c r="K4" i="3" a="1"/>
  <c r="K4" i="3" s="1"/>
  <c r="J4" i="3" a="1"/>
  <c r="J4" i="3" s="1"/>
  <c r="A26" i="1"/>
  <c r="G5" i="3"/>
  <c r="G6" i="3"/>
  <c r="G10" i="3"/>
  <c r="G12" i="3"/>
  <c r="G15" i="3"/>
  <c r="G7" i="3"/>
  <c r="G8" i="3"/>
  <c r="G9" i="3"/>
  <c r="G11" i="3"/>
  <c r="G13" i="3"/>
  <c r="G14" i="3"/>
  <c r="G4" i="3"/>
  <c r="G20" i="2" l="1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</calcChain>
</file>

<file path=xl/sharedStrings.xml><?xml version="1.0" encoding="utf-8"?>
<sst xmlns="http://schemas.openxmlformats.org/spreadsheetml/2006/main" count="608" uniqueCount="268">
  <si>
    <t>가전제품 판매 현황</t>
  </si>
  <si>
    <t>판매일자</t>
  </si>
  <si>
    <t>지점</t>
  </si>
  <si>
    <t>담당자</t>
  </si>
  <si>
    <t>제품명</t>
  </si>
  <si>
    <t>분류</t>
  </si>
  <si>
    <t>수량</t>
  </si>
  <si>
    <t>단가</t>
  </si>
  <si>
    <t>판매금액</t>
  </si>
  <si>
    <t>강남</t>
  </si>
  <si>
    <t>윤서아</t>
  </si>
  <si>
    <t>전기레인지</t>
  </si>
  <si>
    <t>주방가전</t>
  </si>
  <si>
    <t>분당</t>
  </si>
  <si>
    <t>배지민</t>
  </si>
  <si>
    <t>로봇청소기</t>
  </si>
  <si>
    <t>생활가전</t>
  </si>
  <si>
    <t>일산</t>
  </si>
  <si>
    <t>신예린</t>
  </si>
  <si>
    <t>사운드바</t>
  </si>
  <si>
    <t>영상가전</t>
  </si>
  <si>
    <t>수원</t>
  </si>
  <si>
    <t>노유나</t>
  </si>
  <si>
    <t>식기세척기</t>
  </si>
  <si>
    <t>제습기</t>
  </si>
  <si>
    <t>에어프라이어</t>
  </si>
  <si>
    <t>프로젝터</t>
  </si>
  <si>
    <t>공기청정기</t>
  </si>
  <si>
    <t>3분기 지점별 영업 실적</t>
  </si>
  <si>
    <t>사번</t>
  </si>
  <si>
    <t>성명</t>
  </si>
  <si>
    <t>부서</t>
  </si>
  <si>
    <t>1분기</t>
  </si>
  <si>
    <t>2분기</t>
  </si>
  <si>
    <t>3분기</t>
  </si>
  <si>
    <t>합계</t>
  </si>
  <si>
    <t>S26-101</t>
  </si>
  <si>
    <t>강민호</t>
  </si>
  <si>
    <t>영업1팀</t>
  </si>
  <si>
    <t>S26-102</t>
  </si>
  <si>
    <t>김수빈</t>
  </si>
  <si>
    <t>영업2팀</t>
  </si>
  <si>
    <t>S26-103</t>
  </si>
  <si>
    <t>이재원</t>
  </si>
  <si>
    <t>마케팅팀</t>
  </si>
  <si>
    <t>S26-104</t>
  </si>
  <si>
    <t>박하늘</t>
  </si>
  <si>
    <t>S26-105</t>
  </si>
  <si>
    <t>최윤아</t>
  </si>
  <si>
    <t>S26-106</t>
  </si>
  <si>
    <t>정우성</t>
  </si>
  <si>
    <t>S26-107</t>
  </si>
  <si>
    <t>조은별</t>
  </si>
  <si>
    <t>S26-108</t>
  </si>
  <si>
    <t>한지후</t>
  </si>
  <si>
    <t>S26-109</t>
  </si>
  <si>
    <t>오세린</t>
  </si>
  <si>
    <t>S26-110</t>
  </si>
  <si>
    <t>서지안</t>
  </si>
  <si>
    <t>S26-111</t>
  </si>
  <si>
    <t>임도윤</t>
  </si>
  <si>
    <t>S26-112</t>
  </si>
  <si>
    <t>황보라</t>
  </si>
  <si>
    <t>S26-113</t>
  </si>
  <si>
    <t>송태민</t>
  </si>
  <si>
    <t>S26-114</t>
  </si>
  <si>
    <t>유하진</t>
  </si>
  <si>
    <t>S26-115</t>
  </si>
  <si>
    <t>전소율</t>
  </si>
  <si>
    <t>S26-116</t>
  </si>
  <si>
    <t>남궁현</t>
  </si>
  <si>
    <t>S26-117</t>
  </si>
  <si>
    <t>백서진</t>
  </si>
  <si>
    <t>[표1] 사원 평가 현황</t>
  </si>
  <si>
    <t>[표2] 부서별 직급별 기본급 평균</t>
  </si>
  <si>
    <t>사원코드</t>
  </si>
  <si>
    <t>직급</t>
  </si>
  <si>
    <t>기본급</t>
  </si>
  <si>
    <t>성과점수</t>
  </si>
  <si>
    <t>비고</t>
  </si>
  <si>
    <t>사원</t>
  </si>
  <si>
    <t>대리</t>
  </si>
  <si>
    <t>과장</t>
  </si>
  <si>
    <t>E2101</t>
  </si>
  <si>
    <t>고은채</t>
  </si>
  <si>
    <t>영업부</t>
  </si>
  <si>
    <t>E2102</t>
  </si>
  <si>
    <t>나건우</t>
  </si>
  <si>
    <t>기획부</t>
  </si>
  <si>
    <t>E2103</t>
  </si>
  <si>
    <t>도하윤</t>
  </si>
  <si>
    <t>생산부</t>
  </si>
  <si>
    <t>E2104</t>
  </si>
  <si>
    <t>류진혁</t>
  </si>
  <si>
    <t>E2105</t>
  </si>
  <si>
    <t>마서연</t>
  </si>
  <si>
    <t>E2106</t>
  </si>
  <si>
    <t>변지호</t>
  </si>
  <si>
    <t>E2107</t>
  </si>
  <si>
    <t>석민아</t>
  </si>
  <si>
    <t>E2108</t>
  </si>
  <si>
    <t>안주원</t>
  </si>
  <si>
    <t>E2109</t>
  </si>
  <si>
    <t>여채원</t>
  </si>
  <si>
    <t>E2110</t>
  </si>
  <si>
    <t>용시후</t>
  </si>
  <si>
    <t>E2111</t>
  </si>
  <si>
    <t>인나래</t>
  </si>
  <si>
    <t>E2112</t>
  </si>
  <si>
    <t>지한결</t>
  </si>
  <si>
    <t>[표3] 주문 현황</t>
  </si>
  <si>
    <t>&lt;할인율표&gt;</t>
  </si>
  <si>
    <t>주문번호</t>
  </si>
  <si>
    <t>거래처</t>
  </si>
  <si>
    <t>할인율</t>
  </si>
  <si>
    <t>P-0901</t>
  </si>
  <si>
    <t>한빛상사</t>
  </si>
  <si>
    <t>가전</t>
  </si>
  <si>
    <t>P-0902</t>
  </si>
  <si>
    <t>대성유통</t>
  </si>
  <si>
    <t>가구</t>
  </si>
  <si>
    <t>P-0903</t>
  </si>
  <si>
    <t>미래마트</t>
  </si>
  <si>
    <t>생활</t>
  </si>
  <si>
    <t>P-0904</t>
  </si>
  <si>
    <t>푸른몰</t>
  </si>
  <si>
    <t>P-0905</t>
  </si>
  <si>
    <t>P-0906</t>
  </si>
  <si>
    <t>세종물산</t>
  </si>
  <si>
    <t>P-0907</t>
  </si>
  <si>
    <t>P-0908</t>
  </si>
  <si>
    <t>P-0909</t>
  </si>
  <si>
    <t>P-0910</t>
  </si>
  <si>
    <t>[표4] 회원 구매 현황</t>
  </si>
  <si>
    <t>[표5] 차량 정비 현황</t>
  </si>
  <si>
    <t>회원코드</t>
  </si>
  <si>
    <t>지역</t>
  </si>
  <si>
    <t>가입일</t>
  </si>
  <si>
    <t>구매금액</t>
  </si>
  <si>
    <t>적립포인트</t>
  </si>
  <si>
    <t>차량번호</t>
  </si>
  <si>
    <t>차종</t>
  </si>
  <si>
    <t>정비구분</t>
  </si>
  <si>
    <t>정비비</t>
  </si>
  <si>
    <t>M-301</t>
  </si>
  <si>
    <t>김도율</t>
  </si>
  <si>
    <t>서울</t>
  </si>
  <si>
    <t>12가3456</t>
  </si>
  <si>
    <t>SUV</t>
  </si>
  <si>
    <t>정기점검</t>
  </si>
  <si>
    <t>M-302</t>
  </si>
  <si>
    <t>이서윤</t>
  </si>
  <si>
    <t>부산</t>
  </si>
  <si>
    <t>34나7812</t>
  </si>
  <si>
    <t>세단</t>
  </si>
  <si>
    <t>부품교체</t>
  </si>
  <si>
    <t>M-303</t>
  </si>
  <si>
    <t>박준호</t>
  </si>
  <si>
    <t>대구</t>
  </si>
  <si>
    <t>56다1029</t>
  </si>
  <si>
    <t>M-304</t>
  </si>
  <si>
    <t>최가은</t>
  </si>
  <si>
    <t>78라4410</t>
  </si>
  <si>
    <t>승합</t>
  </si>
  <si>
    <t>M-305</t>
  </si>
  <si>
    <t>정하람</t>
  </si>
  <si>
    <t>광주</t>
  </si>
  <si>
    <t>90마2387</t>
  </si>
  <si>
    <t>M-306</t>
  </si>
  <si>
    <t>강이준</t>
  </si>
  <si>
    <t>21바6654</t>
  </si>
  <si>
    <t>M-307</t>
  </si>
  <si>
    <t>조아린</t>
  </si>
  <si>
    <t>43사9071</t>
  </si>
  <si>
    <t>사고수리</t>
  </si>
  <si>
    <t>M-308</t>
  </si>
  <si>
    <t>윤지성</t>
  </si>
  <si>
    <t>65아3318</t>
  </si>
  <si>
    <t>M-309</t>
  </si>
  <si>
    <t>장예서</t>
  </si>
  <si>
    <t>87자5520</t>
  </si>
  <si>
    <t>M-310</t>
  </si>
  <si>
    <t>임건희</t>
  </si>
  <si>
    <t>09차7743</t>
  </si>
  <si>
    <t>SUV 정기점검 평균 정비비</t>
  </si>
  <si>
    <t>&lt;조건&gt;</t>
  </si>
  <si>
    <t>상반기 판매 내역</t>
  </si>
  <si>
    <t>금액</t>
  </si>
  <si>
    <t>한소윤</t>
  </si>
  <si>
    <t>최민재</t>
  </si>
  <si>
    <t>김라온</t>
  </si>
  <si>
    <t>사원 명부</t>
  </si>
  <si>
    <t>고용형태</t>
  </si>
  <si>
    <t>A-11</t>
  </si>
  <si>
    <t>진서우</t>
  </si>
  <si>
    <t>정규직</t>
  </si>
  <si>
    <t>A-12</t>
  </si>
  <si>
    <t>탁하은</t>
  </si>
  <si>
    <t>인턴</t>
  </si>
  <si>
    <t>A-13</t>
  </si>
  <si>
    <t>편도윤</t>
  </si>
  <si>
    <t>총무부</t>
  </si>
  <si>
    <t>A-14</t>
  </si>
  <si>
    <t>하지율</t>
  </si>
  <si>
    <t>계약직</t>
  </si>
  <si>
    <t>A-15</t>
  </si>
  <si>
    <t>계민준</t>
  </si>
  <si>
    <t>부장</t>
  </si>
  <si>
    <t>A-16</t>
  </si>
  <si>
    <t>구다인</t>
  </si>
  <si>
    <t>A-17</t>
  </si>
  <si>
    <t>국태윤</t>
  </si>
  <si>
    <t>A-18</t>
  </si>
  <si>
    <t>길소연</t>
  </si>
  <si>
    <t>A-19</t>
  </si>
  <si>
    <t>나윤호</t>
  </si>
  <si>
    <t>A-20</t>
  </si>
  <si>
    <t>모하린</t>
  </si>
  <si>
    <t>A-21</t>
  </si>
  <si>
    <t>반지후</t>
  </si>
  <si>
    <t>A-22</t>
  </si>
  <si>
    <t>방서현</t>
  </si>
  <si>
    <t>A-23</t>
  </si>
  <si>
    <t>봉시윤</t>
  </si>
  <si>
    <t>A-24</t>
  </si>
  <si>
    <t>선우진</t>
  </si>
  <si>
    <t>A-25</t>
  </si>
  <si>
    <t>설나은</t>
  </si>
  <si>
    <t>A-26</t>
  </si>
  <si>
    <t>성준서</t>
  </si>
  <si>
    <t>상반기 손익 (단위: 백만원)</t>
  </si>
  <si>
    <t>월</t>
  </si>
  <si>
    <t>매출액</t>
  </si>
  <si>
    <t>매출원가</t>
  </si>
  <si>
    <t>영업이익</t>
  </si>
  <si>
    <t>1월</t>
  </si>
  <si>
    <t>2월</t>
  </si>
  <si>
    <t>3월</t>
  </si>
  <si>
    <t>4월</t>
  </si>
  <si>
    <t>5월</t>
  </si>
  <si>
    <t>6월</t>
  </si>
  <si>
    <t>지점별 분기 판매량</t>
  </si>
  <si>
    <t>※ 매크로 단추를 H3·H7 근처에 만드세요</t>
  </si>
  <si>
    <t>4분기</t>
  </si>
  <si>
    <t>평균</t>
  </si>
  <si>
    <t>인천</t>
  </si>
  <si>
    <t>대전</t>
  </si>
  <si>
    <t>울산</t>
  </si>
  <si>
    <t>교육 과정 수강 신청 관리</t>
  </si>
  <si>
    <t>과정</t>
  </si>
  <si>
    <t>수강료</t>
  </si>
  <si>
    <t>납부액</t>
  </si>
  <si>
    <t>어지수</t>
  </si>
  <si>
    <t>엑셀 실무</t>
  </si>
  <si>
    <t>엄태현</t>
  </si>
  <si>
    <t>파워BI 입문</t>
  </si>
  <si>
    <t>연하나</t>
  </si>
  <si>
    <t>염도경</t>
  </si>
  <si>
    <t>VBA 자동화</t>
  </si>
  <si>
    <t>왕소미</t>
  </si>
  <si>
    <t>우재희</t>
  </si>
  <si>
    <t>데이터 시각화</t>
  </si>
  <si>
    <t>조건</t>
  </si>
  <si>
    <t>(모두)</t>
  </si>
  <si>
    <t>총합계</t>
  </si>
  <si>
    <t>합계 : 금액</t>
  </si>
  <si>
    <t>송민준</t>
  </si>
  <si>
    <t>파이썬 기초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</si>
</sst>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"/>
  </numFmts>
  <fonts count="5" x14ac:knownFonts="1">
    <font>
      <sz val="11"/>
      <color theme="1"/>
      <name val="맑은 고딕"/>
      <family val="2"/>
      <scheme val="minor"/>
    </font>
    <font>
      <b/>
      <sz val="11"/>
      <name val="맑은 고딕"/>
      <family val="3"/>
      <charset val="129"/>
    </font>
    <font>
      <b/>
      <sz val="14"/>
      <name val="맑은 고딕"/>
      <family val="3"/>
      <charset val="129"/>
    </font>
    <font>
      <sz val="8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DDEBF7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/>
    <xf numFmtId="0" fontId="1" fillId="2" borderId="1" xfId="0" applyFont="1" applyFill="1" applyBorder="1" applyAlignment="1">
      <alignment horizontal="center" vertical="center"/>
    </xf>
    <xf numFmtId="176" fontId="0" fillId="0" borderId="1" xfId="0" applyNumberFormat="1" applyBorder="1"/>
    <xf numFmtId="0" fontId="0" fillId="0" borderId="1" xfId="0" applyBorder="1"/>
    <xf numFmtId="3" fontId="0" fillId="0" borderId="1" xfId="0" applyNumberFormat="1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/>
    <xf numFmtId="9" fontId="0" fillId="0" borderId="1" xfId="0" applyNumberFormat="1" applyBorder="1"/>
    <xf numFmtId="1" fontId="0" fillId="0" borderId="1" xfId="0" applyNumberFormat="1" applyBorder="1"/>
    <xf numFmtId="176" fontId="0" fillId="0" borderId="0" xfId="0" applyNumberFormat="1"/>
    <xf numFmtId="3" fontId="0" fillId="0" borderId="0" xfId="0" applyNumberFormat="1"/>
    <xf numFmtId="9" fontId="0" fillId="0" borderId="0" xfId="0" applyNumberFormat="1"/>
    <xf numFmtId="0" fontId="0" fillId="0" borderId="1" xfId="0" applyBorder="1"/>
    <xf numFmtId="0" fontId="0" fillId="0" borderId="1" xfId="0" applyBorder="1"/>
    <xf numFmtId="3" fontId="0" fillId="0" borderId="1" xfId="0" applyNumberFormat="1" applyBorder="1" applyProtection="1">
      <protection locked="0"/>
    </xf>
    <xf numFmtId="3" fontId="0" fillId="0" borderId="1" xfId="0" applyNumberFormat="1" applyBorder="1" applyProtection="1">
      <protection hidden="1"/>
    </xf>
    <xf numFmtId="0" fontId="0" fillId="0" borderId="0" xfId="0" pivotButton="1"/>
    <xf numFmtId="0" fontId="4" fillId="3" borderId="1" xfId="0" applyFont="1" applyFill="1" applyBorder="1"/>
  </cellXfs>
  <cellStyles count="1">
    <cellStyle name="표준" xfId="0" builtinId="0"/>
  </cellStyles>
  <dxfs count="1">
    <dxf>
      <font>
        <b/>
        <i/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상반기 손익 현황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'기타작업-1'!$B$3</c:f>
              <c:strCache>
                <c:ptCount val="1"/>
                <c:pt idx="0">
                  <c:v>매출액</c:v>
                </c:pt>
              </c:strCache>
            </c:strRef>
          </c:tx>
          <c:invertIfNegative val="0"/>
          <c:cat>
            <c:strRef>
              <c:f>'기타작업-1'!$A$4:$A$9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'기타작업-1'!$B$4:$B$9</c:f>
              <c:numCache>
                <c:formatCode>General</c:formatCode>
                <c:ptCount val="6"/>
                <c:pt idx="0">
                  <c:v>820</c:v>
                </c:pt>
                <c:pt idx="1">
                  <c:v>765</c:v>
                </c:pt>
                <c:pt idx="2">
                  <c:v>910</c:v>
                </c:pt>
                <c:pt idx="3">
                  <c:v>880</c:v>
                </c:pt>
                <c:pt idx="4">
                  <c:v>965</c:v>
                </c:pt>
                <c:pt idx="5">
                  <c:v>1040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D2-423A-8B5D-FA1D5FC62AEA}"/>
            </c:ext>
          </c:extLst>
        </c:ser>
        <c:ser>
          <c:idx val="1"/>
          <c:order val="1"/>
          <c:tx>
            <c:strRef>
              <c:f>'기타작업-1'!$C$3</c:f>
              <c:strCache>
                <c:ptCount val="1"/>
                <c:pt idx="0">
                  <c:v>매출원가</c:v>
                </c:pt>
              </c:strCache>
            </c:strRef>
          </c:tx>
          <c:invertIfNegative val="0"/>
          <c:cat>
            <c:strRef>
              <c:f>'기타작업-1'!$A$4:$A$9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'기타작업-1'!$C$4:$C$9</c:f>
              <c:numCache>
                <c:formatCode>General</c:formatCode>
                <c:ptCount val="6"/>
                <c:pt idx="0">
                  <c:v>545</c:v>
                </c:pt>
                <c:pt idx="1">
                  <c:v>512</c:v>
                </c:pt>
                <c:pt idx="2">
                  <c:v>598</c:v>
                </c:pt>
                <c:pt idx="3">
                  <c:v>590</c:v>
                </c:pt>
                <c:pt idx="4">
                  <c:v>621</c:v>
                </c:pt>
                <c:pt idx="5">
                  <c:v>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D2-423A-8B5D-FA1D5FC62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7122208"/>
        <c:axId val="882042976"/>
      </c:barChart>
      <c:lineChart>
        <c:grouping val="standard"/>
        <c:varyColors val="0"/>
        <c:ser>
          <c:idx val="2"/>
          <c:order val="2"/>
          <c:tx>
            <c:strRef>
              <c:f>'기타작업-1'!$D$3</c:f>
              <c:strCache>
                <c:ptCount val="1"/>
                <c:pt idx="0">
                  <c:v>영업이익</c:v>
                </c:pt>
              </c:strCache>
            </c:strRef>
          </c:tx>
          <c:cat>
            <c:strRef>
              <c:f>'기타작업-1'!$A$4:$A$9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'기타작업-1'!$D$4:$D$9</c:f>
              <c:numCache>
                <c:formatCode>General</c:formatCode>
                <c:ptCount val="6"/>
                <c:pt idx="0">
                  <c:v>118</c:v>
                </c:pt>
                <c:pt idx="1">
                  <c:v>96</c:v>
                </c:pt>
                <c:pt idx="2">
                  <c:v>142</c:v>
                </c:pt>
                <c:pt idx="3">
                  <c:v>127</c:v>
                </c:pt>
                <c:pt idx="4">
                  <c:v>168</c:v>
                </c:pt>
                <c:pt idx="5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D2-423A-8B5D-FA1D5FC62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7126208"/>
        <c:axId val="882042144"/>
      </c:lineChart>
      <c:catAx>
        <c:axId val="877122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82042976"/>
        <c:crosses val="autoZero"/>
        <c:auto val="1"/>
        <c:lblAlgn val="ctr"/>
        <c:lblOffset val="100"/>
        <c:noMultiLvlLbl val="0"/>
      </c:catAx>
      <c:valAx>
        <c:axId val="8820429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금액</a:t>
                </a:r>
                <a:r>
                  <a:rPr lang="en-US" altLang="ko-KR"/>
                  <a:t>(</a:t>
                </a:r>
                <a:r>
                  <a:rPr lang="ko-KR" altLang="en-US"/>
                  <a:t>백만원</a:t>
                </a:r>
                <a:r>
                  <a:rPr lang="en-US" altLang="ko-KR"/>
                  <a:t>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77122208"/>
        <c:crosses val="autoZero"/>
        <c:crossBetween val="between"/>
      </c:valAx>
      <c:valAx>
        <c:axId val="8820421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877126208"/>
        <c:crosses val="max"/>
        <c:crossBetween val="between"/>
      </c:valAx>
      <c:catAx>
        <c:axId val="8771262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2042144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13</xdr:col>
      <xdr:colOff>0</xdr:colOff>
      <xdr:row>18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2D3BE98C-E9FB-4002-A59C-5C4286958C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310D06BA-5A63-4BEA-8388-64FE239120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6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C8F19F20-AAAD-43B3-BF53-AA9EEAD76B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2049" name="cmd신청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6299.984751041666" createdVersion="3" refreshedVersion="6" minRefreshableVersion="3" recordCount="36" xr:uid="{D02819CB-54BB-4FB4-BCD8-E8164B4F7BAB}">
  <cacheSource type="worksheet">
    <worksheetSource ref="A3:F39" sheet="분석작업-1"/>
  </cacheSource>
  <cacheFields count="6">
    <cacheField name="판매일자" numFmtId="176">
      <sharedItems containsSemiMixedTypes="0" containsNonDate="0" containsDate="1" containsString="0" minDate="2026-01-03T00:00:00" maxDate="2026-06-24T00:00:00" count="36">
        <d v="2026-01-03T00:00:00"/>
        <d v="2026-01-07T00:00:00"/>
        <d v="2026-01-11T00:00:00"/>
        <d v="2026-01-15T00:00:00"/>
        <d v="2026-01-19T00:00:00"/>
        <d v="2026-01-23T00:00:00"/>
        <d v="2026-02-03T00:00:00"/>
        <d v="2026-02-07T00:00:00"/>
        <d v="2026-02-11T00:00:00"/>
        <d v="2026-02-15T00:00:00"/>
        <d v="2026-02-19T00:00:00"/>
        <d v="2026-02-23T00:00:00"/>
        <d v="2026-03-03T00:00:00"/>
        <d v="2026-03-07T00:00:00"/>
        <d v="2026-03-11T00:00:00"/>
        <d v="2026-03-15T00:00:00"/>
        <d v="2026-03-19T00:00:00"/>
        <d v="2026-03-23T00:00:00"/>
        <d v="2026-04-03T00:00:00"/>
        <d v="2026-04-07T00:00:00"/>
        <d v="2026-04-11T00:00:00"/>
        <d v="2026-04-15T00:00:00"/>
        <d v="2026-04-19T00:00:00"/>
        <d v="2026-04-23T00:00:00"/>
        <d v="2026-05-03T00:00:00"/>
        <d v="2026-05-07T00:00:00"/>
        <d v="2026-05-11T00:00:00"/>
        <d v="2026-05-15T00:00:00"/>
        <d v="2026-05-19T00:00:00"/>
        <d v="2026-05-23T00:00:00"/>
        <d v="2026-06-03T00:00:00"/>
        <d v="2026-06-07T00:00:00"/>
        <d v="2026-06-11T00:00:00"/>
        <d v="2026-06-15T00:00:00"/>
        <d v="2026-06-19T00:00:00"/>
        <d v="2026-06-23T00:00:00"/>
      </sharedItems>
      <fieldGroup base="0">
        <rangePr groupBy="months" startDate="2026-01-03T00:00:00" endDate="2026-06-24T00:00:00"/>
        <groupItems count="14">
          <s v="&lt;2026-01-03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6-06-24"/>
        </groupItems>
      </fieldGroup>
    </cacheField>
    <cacheField name="지점" numFmtId="0">
      <sharedItems count="3">
        <s v="강남"/>
        <s v="분당"/>
        <s v="일산"/>
      </sharedItems>
    </cacheField>
    <cacheField name="분류" numFmtId="0">
      <sharedItems count="3">
        <s v="가전"/>
        <s v="가구"/>
        <s v="생활"/>
      </sharedItems>
    </cacheField>
    <cacheField name="담당자" numFmtId="0">
      <sharedItems/>
    </cacheField>
    <cacheField name="수량" numFmtId="0">
      <sharedItems containsSemiMixedTypes="0" containsString="0" containsNumber="1" containsInteger="1" minValue="3" maxValue="25"/>
    </cacheField>
    <cacheField name="금액" numFmtId="3">
      <sharedItems containsSemiMixedTypes="0" containsString="0" containsNumber="1" containsInteger="1" minValue="54000" maxValue="52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x v="0"/>
    <x v="0"/>
    <s v="한소윤"/>
    <n v="4"/>
    <n v="500000"/>
  </r>
  <r>
    <x v="1"/>
    <x v="1"/>
    <x v="1"/>
    <s v="최민재"/>
    <n v="20"/>
    <n v="4200000"/>
  </r>
  <r>
    <x v="2"/>
    <x v="2"/>
    <x v="2"/>
    <s v="김라온"/>
    <n v="5"/>
    <n v="90000"/>
  </r>
  <r>
    <x v="3"/>
    <x v="0"/>
    <x v="1"/>
    <s v="한소윤"/>
    <n v="19"/>
    <n v="3990000"/>
  </r>
  <r>
    <x v="4"/>
    <x v="1"/>
    <x v="2"/>
    <s v="최민재"/>
    <n v="8"/>
    <n v="144000"/>
  </r>
  <r>
    <x v="5"/>
    <x v="2"/>
    <x v="0"/>
    <s v="김라온"/>
    <n v="16"/>
    <n v="2000000"/>
  </r>
  <r>
    <x v="6"/>
    <x v="0"/>
    <x v="2"/>
    <s v="한소윤"/>
    <n v="3"/>
    <n v="54000"/>
  </r>
  <r>
    <x v="7"/>
    <x v="1"/>
    <x v="0"/>
    <s v="최민재"/>
    <n v="12"/>
    <n v="1500000"/>
  </r>
  <r>
    <x v="8"/>
    <x v="2"/>
    <x v="1"/>
    <s v="김라온"/>
    <n v="3"/>
    <n v="630000"/>
  </r>
  <r>
    <x v="9"/>
    <x v="0"/>
    <x v="0"/>
    <s v="한소윤"/>
    <n v="25"/>
    <n v="3125000"/>
  </r>
  <r>
    <x v="10"/>
    <x v="1"/>
    <x v="1"/>
    <s v="최민재"/>
    <n v="10"/>
    <n v="2100000"/>
  </r>
  <r>
    <x v="11"/>
    <x v="2"/>
    <x v="2"/>
    <s v="김라온"/>
    <n v="10"/>
    <n v="180000"/>
  </r>
  <r>
    <x v="12"/>
    <x v="0"/>
    <x v="1"/>
    <s v="한소윤"/>
    <n v="20"/>
    <n v="4200000"/>
  </r>
  <r>
    <x v="13"/>
    <x v="1"/>
    <x v="2"/>
    <s v="최민재"/>
    <n v="25"/>
    <n v="450000"/>
  </r>
  <r>
    <x v="14"/>
    <x v="2"/>
    <x v="0"/>
    <s v="김라온"/>
    <n v="5"/>
    <n v="625000"/>
  </r>
  <r>
    <x v="15"/>
    <x v="0"/>
    <x v="2"/>
    <s v="한소윤"/>
    <n v="23"/>
    <n v="414000"/>
  </r>
  <r>
    <x v="16"/>
    <x v="1"/>
    <x v="0"/>
    <s v="최민재"/>
    <n v="18"/>
    <n v="2250000"/>
  </r>
  <r>
    <x v="17"/>
    <x v="2"/>
    <x v="1"/>
    <s v="김라온"/>
    <n v="4"/>
    <n v="840000"/>
  </r>
  <r>
    <x v="18"/>
    <x v="0"/>
    <x v="0"/>
    <s v="한소윤"/>
    <n v="16"/>
    <n v="2000000"/>
  </r>
  <r>
    <x v="19"/>
    <x v="1"/>
    <x v="1"/>
    <s v="최민재"/>
    <n v="18"/>
    <n v="3780000"/>
  </r>
  <r>
    <x v="20"/>
    <x v="2"/>
    <x v="2"/>
    <s v="김라온"/>
    <n v="19"/>
    <n v="342000"/>
  </r>
  <r>
    <x v="21"/>
    <x v="0"/>
    <x v="1"/>
    <s v="한소윤"/>
    <n v="19"/>
    <n v="3990000"/>
  </r>
  <r>
    <x v="22"/>
    <x v="1"/>
    <x v="2"/>
    <s v="최민재"/>
    <n v="10"/>
    <n v="180000"/>
  </r>
  <r>
    <x v="23"/>
    <x v="2"/>
    <x v="0"/>
    <s v="김라온"/>
    <n v="19"/>
    <n v="2375000"/>
  </r>
  <r>
    <x v="24"/>
    <x v="0"/>
    <x v="2"/>
    <s v="한소윤"/>
    <n v="13"/>
    <n v="234000"/>
  </r>
  <r>
    <x v="25"/>
    <x v="1"/>
    <x v="0"/>
    <s v="최민재"/>
    <n v="21"/>
    <n v="2625000"/>
  </r>
  <r>
    <x v="26"/>
    <x v="2"/>
    <x v="1"/>
    <s v="김라온"/>
    <n v="16"/>
    <n v="3360000"/>
  </r>
  <r>
    <x v="27"/>
    <x v="0"/>
    <x v="0"/>
    <s v="한소윤"/>
    <n v="11"/>
    <n v="1375000"/>
  </r>
  <r>
    <x v="28"/>
    <x v="1"/>
    <x v="1"/>
    <s v="최민재"/>
    <n v="25"/>
    <n v="5250000"/>
  </r>
  <r>
    <x v="29"/>
    <x v="2"/>
    <x v="2"/>
    <s v="김라온"/>
    <n v="5"/>
    <n v="90000"/>
  </r>
  <r>
    <x v="30"/>
    <x v="0"/>
    <x v="1"/>
    <s v="한소윤"/>
    <n v="8"/>
    <n v="1680000"/>
  </r>
  <r>
    <x v="31"/>
    <x v="1"/>
    <x v="2"/>
    <s v="최민재"/>
    <n v="3"/>
    <n v="54000"/>
  </r>
  <r>
    <x v="32"/>
    <x v="2"/>
    <x v="0"/>
    <s v="김라온"/>
    <n v="13"/>
    <n v="1625000"/>
  </r>
  <r>
    <x v="33"/>
    <x v="0"/>
    <x v="2"/>
    <s v="한소윤"/>
    <n v="4"/>
    <n v="72000"/>
  </r>
  <r>
    <x v="34"/>
    <x v="1"/>
    <x v="0"/>
    <s v="최민재"/>
    <n v="23"/>
    <n v="2875000"/>
  </r>
  <r>
    <x v="35"/>
    <x v="2"/>
    <x v="1"/>
    <s v="김라온"/>
    <n v="10"/>
    <n v="210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F1DA59-8752-4325-BABB-FA6CF32E9A92}" name="PT" cacheId="5" applyNumberFormats="0" applyBorderFormats="0" applyFontFormats="0" applyPatternFormats="0" applyAlignmentFormats="0" applyWidthHeightFormats="1" dataCaption="값" updatedVersion="6" minRefreshableVersion="3" showCalcMbrs="0" useAutoFormatting="1" itemPrintTitles="1" createdVersion="3" indent="0" compact="0" compactData="0" multipleFieldFilters="0">
  <location ref="H3:L11" firstHeaderRow="1" firstDataRow="2" firstDataCol="1" rowPageCount="1" colPageCount="1"/>
  <pivotFields count="6">
    <pivotField axis="axisRow" compact="0" numFmtId="176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compact="0" outline="0" showAll="0">
      <items count="4">
        <item x="0"/>
        <item x="1"/>
        <item x="2"/>
        <item t="default"/>
      </items>
    </pivotField>
    <pivotField axis="axisCol" compact="0" outline="0" showAll="0">
      <items count="4">
        <item x="1"/>
        <item x="0"/>
        <item x="2"/>
        <item t="default"/>
      </items>
    </pivotField>
    <pivotField compact="0" outline="0" showAll="0"/>
    <pivotField compact="0" outline="0" showAll="0"/>
    <pivotField dataField="1" compact="0" numFmtId="3" outline="0" showAll="0"/>
  </pivotFields>
  <rowFields count="1">
    <field x="0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pageFields count="1">
    <pageField fld="1" hier="-1"/>
  </pageFields>
  <dataFields count="1">
    <dataField name="합계 : 금액" fld="5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1"/>
  <sheetViews>
    <sheetView tabSelected="1" workbookViewId="0"/>
  </sheetViews>
  <sheetFormatPr defaultRowHeight="17.399999999999999" x14ac:dyDescent="0.4"/>
  <cols>
    <col min="1" max="1" width="12" customWidth="1"/>
    <col min="2" max="2" width="7" customWidth="1"/>
    <col min="3" max="3" width="9" customWidth="1"/>
    <col min="4" max="4" width="12" customWidth="1"/>
    <col min="5" max="5" width="10" customWidth="1"/>
    <col min="6" max="6" width="7" customWidth="1"/>
    <col min="7" max="7" width="11" customWidth="1"/>
    <col min="8" max="8" width="13" customWidth="1"/>
  </cols>
  <sheetData>
    <row r="1" spans="1:8" ht="21" x14ac:dyDescent="0.45">
      <c r="A1" s="1" t="s">
        <v>0</v>
      </c>
    </row>
    <row r="2" spans="1:8" x14ac:dyDescent="0.4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</row>
    <row r="3" spans="1:8" x14ac:dyDescent="0.4">
      <c r="A3" s="3">
        <v>46266</v>
      </c>
      <c r="B3" s="4" t="s">
        <v>9</v>
      </c>
      <c r="C3" s="4" t="s">
        <v>10</v>
      </c>
      <c r="D3" s="4" t="s">
        <v>11</v>
      </c>
      <c r="E3" s="4" t="s">
        <v>12</v>
      </c>
      <c r="F3" s="4">
        <v>2</v>
      </c>
      <c r="G3" s="5">
        <v>890000</v>
      </c>
      <c r="H3" s="5">
        <v>1780000</v>
      </c>
    </row>
    <row r="4" spans="1:8" x14ac:dyDescent="0.4">
      <c r="A4" s="3">
        <v>46267</v>
      </c>
      <c r="B4" s="4" t="s">
        <v>13</v>
      </c>
      <c r="C4" s="4" t="s">
        <v>14</v>
      </c>
      <c r="D4" s="4" t="s">
        <v>15</v>
      </c>
      <c r="E4" s="4" t="s">
        <v>16</v>
      </c>
      <c r="F4" s="4">
        <v>2</v>
      </c>
      <c r="G4" s="5">
        <v>760000</v>
      </c>
      <c r="H4" s="5">
        <v>1520000</v>
      </c>
    </row>
    <row r="5" spans="1:8" x14ac:dyDescent="0.4">
      <c r="A5" s="3">
        <v>46268</v>
      </c>
      <c r="B5" s="4" t="s">
        <v>17</v>
      </c>
      <c r="C5" s="4" t="s">
        <v>18</v>
      </c>
      <c r="D5" s="4" t="s">
        <v>19</v>
      </c>
      <c r="E5" s="4" t="s">
        <v>20</v>
      </c>
      <c r="F5" s="4">
        <v>12</v>
      </c>
      <c r="G5" s="5">
        <v>510000</v>
      </c>
      <c r="H5" s="5">
        <v>6120000</v>
      </c>
    </row>
    <row r="6" spans="1:8" x14ac:dyDescent="0.4">
      <c r="A6" s="3">
        <v>46270</v>
      </c>
      <c r="B6" s="4" t="s">
        <v>21</v>
      </c>
      <c r="C6" s="4" t="s">
        <v>22</v>
      </c>
      <c r="D6" s="4" t="s">
        <v>23</v>
      </c>
      <c r="E6" s="4" t="s">
        <v>12</v>
      </c>
      <c r="F6" s="4">
        <v>6</v>
      </c>
      <c r="G6" s="5">
        <v>1150000</v>
      </c>
      <c r="H6" s="5">
        <v>6900000</v>
      </c>
    </row>
    <row r="7" spans="1:8" x14ac:dyDescent="0.4">
      <c r="A7" s="3">
        <v>46271</v>
      </c>
      <c r="B7" s="4" t="s">
        <v>9</v>
      </c>
      <c r="C7" s="4" t="s">
        <v>10</v>
      </c>
      <c r="D7" s="4" t="s">
        <v>24</v>
      </c>
      <c r="E7" s="4" t="s">
        <v>16</v>
      </c>
      <c r="F7" s="4">
        <v>17</v>
      </c>
      <c r="G7" s="5">
        <v>335000</v>
      </c>
      <c r="H7" s="5">
        <v>5695000</v>
      </c>
    </row>
    <row r="8" spans="1:8" x14ac:dyDescent="0.4">
      <c r="A8" s="3">
        <v>46272</v>
      </c>
      <c r="B8" s="4" t="s">
        <v>13</v>
      </c>
      <c r="C8" s="4" t="s">
        <v>14</v>
      </c>
      <c r="D8" s="4" t="s">
        <v>11</v>
      </c>
      <c r="E8" s="4" t="s">
        <v>12</v>
      </c>
      <c r="F8" s="4">
        <v>11</v>
      </c>
      <c r="G8" s="5">
        <v>890000</v>
      </c>
      <c r="H8" s="5">
        <v>9790000</v>
      </c>
    </row>
    <row r="9" spans="1:8" x14ac:dyDescent="0.4">
      <c r="A9" s="3">
        <v>46274</v>
      </c>
      <c r="B9" s="4" t="s">
        <v>17</v>
      </c>
      <c r="C9" s="4" t="s">
        <v>18</v>
      </c>
      <c r="D9" s="4" t="s">
        <v>15</v>
      </c>
      <c r="E9" s="4" t="s">
        <v>16</v>
      </c>
      <c r="F9" s="4">
        <v>18</v>
      </c>
      <c r="G9" s="5">
        <v>760000</v>
      </c>
      <c r="H9" s="5">
        <v>13680000</v>
      </c>
    </row>
    <row r="10" spans="1:8" x14ac:dyDescent="0.4">
      <c r="A10" s="3">
        <v>46275</v>
      </c>
      <c r="B10" s="4" t="s">
        <v>21</v>
      </c>
      <c r="C10" s="4" t="s">
        <v>22</v>
      </c>
      <c r="D10" s="4" t="s">
        <v>19</v>
      </c>
      <c r="E10" s="4" t="s">
        <v>20</v>
      </c>
      <c r="F10" s="4">
        <v>5</v>
      </c>
      <c r="G10" s="5">
        <v>510000</v>
      </c>
      <c r="H10" s="5">
        <v>2550000</v>
      </c>
    </row>
    <row r="11" spans="1:8" x14ac:dyDescent="0.4">
      <c r="A11" s="3">
        <v>46276</v>
      </c>
      <c r="B11" s="4" t="s">
        <v>9</v>
      </c>
      <c r="C11" s="4" t="s">
        <v>10</v>
      </c>
      <c r="D11" s="4" t="s">
        <v>25</v>
      </c>
      <c r="E11" s="4" t="s">
        <v>12</v>
      </c>
      <c r="F11" s="4">
        <v>14</v>
      </c>
      <c r="G11" s="5">
        <v>189000</v>
      </c>
      <c r="H11" s="5">
        <v>2646000</v>
      </c>
    </row>
    <row r="12" spans="1:8" x14ac:dyDescent="0.4">
      <c r="A12" s="3">
        <v>46278</v>
      </c>
      <c r="B12" s="4" t="s">
        <v>13</v>
      </c>
      <c r="C12" s="4" t="s">
        <v>14</v>
      </c>
      <c r="D12" s="4" t="s">
        <v>24</v>
      </c>
      <c r="E12" s="4" t="s">
        <v>16</v>
      </c>
      <c r="F12" s="4">
        <v>18</v>
      </c>
      <c r="G12" s="5">
        <v>335000</v>
      </c>
      <c r="H12" s="5">
        <v>6030000</v>
      </c>
    </row>
    <row r="13" spans="1:8" x14ac:dyDescent="0.4">
      <c r="A13" s="3">
        <v>46279</v>
      </c>
      <c r="B13" s="4" t="s">
        <v>17</v>
      </c>
      <c r="C13" s="4" t="s">
        <v>18</v>
      </c>
      <c r="D13" s="4" t="s">
        <v>11</v>
      </c>
      <c r="E13" s="4" t="s">
        <v>12</v>
      </c>
      <c r="F13" s="4">
        <v>11</v>
      </c>
      <c r="G13" s="5">
        <v>890000</v>
      </c>
      <c r="H13" s="5">
        <v>9790000</v>
      </c>
    </row>
    <row r="14" spans="1:8" x14ac:dyDescent="0.4">
      <c r="A14" s="3">
        <v>46280</v>
      </c>
      <c r="B14" s="4" t="s">
        <v>21</v>
      </c>
      <c r="C14" s="4" t="s">
        <v>22</v>
      </c>
      <c r="D14" s="4" t="s">
        <v>15</v>
      </c>
      <c r="E14" s="4" t="s">
        <v>16</v>
      </c>
      <c r="F14" s="4">
        <v>3</v>
      </c>
      <c r="G14" s="5">
        <v>760000</v>
      </c>
      <c r="H14" s="5">
        <v>2280000</v>
      </c>
    </row>
    <row r="15" spans="1:8" x14ac:dyDescent="0.4">
      <c r="A15" s="3">
        <v>46282</v>
      </c>
      <c r="B15" s="4" t="s">
        <v>9</v>
      </c>
      <c r="C15" s="4" t="s">
        <v>10</v>
      </c>
      <c r="D15" s="4" t="s">
        <v>26</v>
      </c>
      <c r="E15" s="4" t="s">
        <v>20</v>
      </c>
      <c r="F15" s="4">
        <v>2</v>
      </c>
      <c r="G15" s="5">
        <v>980000</v>
      </c>
      <c r="H15" s="5">
        <v>1960000</v>
      </c>
    </row>
    <row r="16" spans="1:8" x14ac:dyDescent="0.4">
      <c r="A16" s="3">
        <v>46283</v>
      </c>
      <c r="B16" s="4" t="s">
        <v>13</v>
      </c>
      <c r="C16" s="4" t="s">
        <v>14</v>
      </c>
      <c r="D16" s="4" t="s">
        <v>25</v>
      </c>
      <c r="E16" s="4" t="s">
        <v>12</v>
      </c>
      <c r="F16" s="4">
        <v>17</v>
      </c>
      <c r="G16" s="5">
        <v>189000</v>
      </c>
      <c r="H16" s="5">
        <v>3213000</v>
      </c>
    </row>
    <row r="17" spans="1:8" x14ac:dyDescent="0.4">
      <c r="A17" s="3">
        <v>46284</v>
      </c>
      <c r="B17" s="4" t="s">
        <v>17</v>
      </c>
      <c r="C17" s="4" t="s">
        <v>18</v>
      </c>
      <c r="D17" s="4" t="s">
        <v>24</v>
      </c>
      <c r="E17" s="4" t="s">
        <v>16</v>
      </c>
      <c r="F17" s="4">
        <v>14</v>
      </c>
      <c r="G17" s="5">
        <v>335000</v>
      </c>
      <c r="H17" s="5">
        <v>4690000</v>
      </c>
    </row>
    <row r="18" spans="1:8" x14ac:dyDescent="0.4">
      <c r="A18" s="3">
        <v>46286</v>
      </c>
      <c r="B18" s="4" t="s">
        <v>21</v>
      </c>
      <c r="C18" s="4" t="s">
        <v>22</v>
      </c>
      <c r="D18" s="4" t="s">
        <v>11</v>
      </c>
      <c r="E18" s="4" t="s">
        <v>12</v>
      </c>
      <c r="F18" s="4">
        <v>5</v>
      </c>
      <c r="G18" s="5">
        <v>890000</v>
      </c>
      <c r="H18" s="5">
        <v>4450000</v>
      </c>
    </row>
    <row r="19" spans="1:8" x14ac:dyDescent="0.4">
      <c r="A19" s="3">
        <v>46287</v>
      </c>
      <c r="B19" s="4" t="s">
        <v>9</v>
      </c>
      <c r="C19" s="4" t="s">
        <v>10</v>
      </c>
      <c r="D19" s="4" t="s">
        <v>27</v>
      </c>
      <c r="E19" s="4" t="s">
        <v>16</v>
      </c>
      <c r="F19" s="4">
        <v>6</v>
      </c>
      <c r="G19" s="5">
        <v>420000</v>
      </c>
      <c r="H19" s="5">
        <v>2520000</v>
      </c>
    </row>
    <row r="20" spans="1:8" x14ac:dyDescent="0.4">
      <c r="A20" s="3">
        <v>46288</v>
      </c>
      <c r="B20" s="4" t="s">
        <v>13</v>
      </c>
      <c r="C20" s="4" t="s">
        <v>14</v>
      </c>
      <c r="D20" s="4" t="s">
        <v>26</v>
      </c>
      <c r="E20" s="4" t="s">
        <v>20</v>
      </c>
      <c r="F20" s="4">
        <v>18</v>
      </c>
      <c r="G20" s="5">
        <v>980000</v>
      </c>
      <c r="H20" s="5">
        <v>17640000</v>
      </c>
    </row>
    <row r="21" spans="1:8" x14ac:dyDescent="0.4">
      <c r="A21" s="3">
        <v>46290</v>
      </c>
      <c r="B21" s="4" t="s">
        <v>17</v>
      </c>
      <c r="C21" s="4" t="s">
        <v>18</v>
      </c>
      <c r="D21" s="4" t="s">
        <v>25</v>
      </c>
      <c r="E21" s="4" t="s">
        <v>12</v>
      </c>
      <c r="F21" s="4">
        <v>3</v>
      </c>
      <c r="G21" s="5">
        <v>189000</v>
      </c>
      <c r="H21" s="5">
        <v>567000</v>
      </c>
    </row>
    <row r="22" spans="1:8" x14ac:dyDescent="0.4">
      <c r="A22" s="3">
        <v>46291</v>
      </c>
      <c r="B22" s="4" t="s">
        <v>21</v>
      </c>
      <c r="C22" s="4" t="s">
        <v>22</v>
      </c>
      <c r="D22" s="4" t="s">
        <v>24</v>
      </c>
      <c r="E22" s="4" t="s">
        <v>16</v>
      </c>
      <c r="F22" s="4">
        <v>9</v>
      </c>
      <c r="G22" s="5">
        <v>335000</v>
      </c>
      <c r="H22" s="5">
        <v>3015000</v>
      </c>
    </row>
    <row r="25" spans="1:8" x14ac:dyDescent="0.4">
      <c r="A25" t="s">
        <v>262</v>
      </c>
    </row>
    <row r="26" spans="1:8" x14ac:dyDescent="0.4">
      <c r="A26" t="b">
        <f>AND(E3="주방가전",H3&gt;=AVERAGE($H$3:$H$22))</f>
        <v>0</v>
      </c>
    </row>
    <row r="28" spans="1:8" x14ac:dyDescent="0.4">
      <c r="A28" t="s">
        <v>1</v>
      </c>
      <c r="B28" t="s">
        <v>2</v>
      </c>
      <c r="C28" t="s">
        <v>4</v>
      </c>
      <c r="D28" t="s">
        <v>6</v>
      </c>
      <c r="E28" t="s">
        <v>8</v>
      </c>
    </row>
    <row r="29" spans="1:8" x14ac:dyDescent="0.4">
      <c r="A29" s="3">
        <v>46270</v>
      </c>
      <c r="B29" s="14" t="s">
        <v>21</v>
      </c>
      <c r="C29" s="14" t="s">
        <v>23</v>
      </c>
      <c r="D29" s="14">
        <v>6</v>
      </c>
      <c r="E29" s="5">
        <v>6900000</v>
      </c>
    </row>
    <row r="30" spans="1:8" x14ac:dyDescent="0.4">
      <c r="A30" s="3">
        <v>46272</v>
      </c>
      <c r="B30" s="14" t="s">
        <v>13</v>
      </c>
      <c r="C30" s="14" t="s">
        <v>11</v>
      </c>
      <c r="D30" s="14">
        <v>11</v>
      </c>
      <c r="E30" s="5">
        <v>9790000</v>
      </c>
    </row>
    <row r="31" spans="1:8" x14ac:dyDescent="0.4">
      <c r="A31" s="3">
        <v>46279</v>
      </c>
      <c r="B31" s="14" t="s">
        <v>17</v>
      </c>
      <c r="C31" s="14" t="s">
        <v>11</v>
      </c>
      <c r="D31" s="14">
        <v>11</v>
      </c>
      <c r="E31" s="5">
        <v>9790000</v>
      </c>
    </row>
  </sheetData>
  <phoneticPr fontId="3" type="noConversion"/>
  <conditionalFormatting sqref="A3:H22">
    <cfRule type="expression" dxfId="0" priority="1" stopIfTrue="1">
      <formula>AND(OR($B3="강남",$B3="분당"),$H3&gt;=LARGE($H$3:$H$22,5))</formula>
    </cfRule>
  </conditionalFormatting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0"/>
  <sheetViews>
    <sheetView workbookViewId="0"/>
  </sheetViews>
  <sheetFormatPr defaultRowHeight="17.399999999999999" x14ac:dyDescent="0.4"/>
  <cols>
    <col min="1" max="1" width="10" customWidth="1"/>
    <col min="2" max="2" width="9" customWidth="1"/>
    <col min="3" max="6" width="10" customWidth="1"/>
    <col min="7" max="7" width="11" customWidth="1"/>
  </cols>
  <sheetData>
    <row r="1" spans="1:7" ht="21" x14ac:dyDescent="0.45">
      <c r="A1" s="1" t="s">
        <v>28</v>
      </c>
    </row>
    <row r="3" spans="1:7" x14ac:dyDescent="0.4">
      <c r="A3" s="6" t="s">
        <v>29</v>
      </c>
      <c r="B3" s="6" t="s">
        <v>30</v>
      </c>
      <c r="C3" s="6" t="s">
        <v>31</v>
      </c>
      <c r="D3" s="6" t="s">
        <v>32</v>
      </c>
      <c r="E3" s="6" t="s">
        <v>33</v>
      </c>
      <c r="F3" s="6" t="s">
        <v>34</v>
      </c>
      <c r="G3" s="6" t="s">
        <v>35</v>
      </c>
    </row>
    <row r="4" spans="1:7" x14ac:dyDescent="0.4">
      <c r="A4" s="4" t="s">
        <v>36</v>
      </c>
      <c r="B4" s="4" t="s">
        <v>37</v>
      </c>
      <c r="C4" s="4" t="s">
        <v>38</v>
      </c>
      <c r="D4" s="16">
        <v>7500</v>
      </c>
      <c r="E4" s="16">
        <v>9300</v>
      </c>
      <c r="F4" s="16">
        <v>7100</v>
      </c>
      <c r="G4" s="17">
        <f t="shared" ref="G4:G20" si="0">SUM(D4:F4)</f>
        <v>23900</v>
      </c>
    </row>
    <row r="5" spans="1:7" x14ac:dyDescent="0.4">
      <c r="A5" s="4" t="s">
        <v>39</v>
      </c>
      <c r="B5" s="4" t="s">
        <v>40</v>
      </c>
      <c r="C5" s="4" t="s">
        <v>41</v>
      </c>
      <c r="D5" s="16">
        <v>4900</v>
      </c>
      <c r="E5" s="16">
        <v>5400</v>
      </c>
      <c r="F5" s="16">
        <v>5900</v>
      </c>
      <c r="G5" s="17">
        <f t="shared" si="0"/>
        <v>16200</v>
      </c>
    </row>
    <row r="6" spans="1:7" x14ac:dyDescent="0.4">
      <c r="A6" s="4" t="s">
        <v>42</v>
      </c>
      <c r="B6" s="4" t="s">
        <v>43</v>
      </c>
      <c r="C6" s="4" t="s">
        <v>44</v>
      </c>
      <c r="D6" s="16">
        <v>6100</v>
      </c>
      <c r="E6" s="16">
        <v>8100</v>
      </c>
      <c r="F6" s="16">
        <v>6100</v>
      </c>
      <c r="G6" s="17">
        <f t="shared" si="0"/>
        <v>20300</v>
      </c>
    </row>
    <row r="7" spans="1:7" x14ac:dyDescent="0.4">
      <c r="A7" s="4" t="s">
        <v>45</v>
      </c>
      <c r="B7" s="4" t="s">
        <v>46</v>
      </c>
      <c r="C7" s="4" t="s">
        <v>38</v>
      </c>
      <c r="D7" s="16">
        <v>4200</v>
      </c>
      <c r="E7" s="16">
        <v>5600</v>
      </c>
      <c r="F7" s="16">
        <v>5100</v>
      </c>
      <c r="G7" s="17">
        <f t="shared" si="0"/>
        <v>14900</v>
      </c>
    </row>
    <row r="8" spans="1:7" x14ac:dyDescent="0.4">
      <c r="A8" s="4" t="s">
        <v>47</v>
      </c>
      <c r="B8" s="4" t="s">
        <v>48</v>
      </c>
      <c r="C8" s="4" t="s">
        <v>41</v>
      </c>
      <c r="D8" s="16">
        <v>7200</v>
      </c>
      <c r="E8" s="16">
        <v>8400</v>
      </c>
      <c r="F8" s="16">
        <v>8700</v>
      </c>
      <c r="G8" s="17">
        <f t="shared" si="0"/>
        <v>24300</v>
      </c>
    </row>
    <row r="9" spans="1:7" x14ac:dyDescent="0.4">
      <c r="A9" s="4" t="s">
        <v>49</v>
      </c>
      <c r="B9" s="4" t="s">
        <v>50</v>
      </c>
      <c r="C9" s="4" t="s">
        <v>44</v>
      </c>
      <c r="D9" s="16">
        <v>4200</v>
      </c>
      <c r="E9" s="16">
        <v>6000</v>
      </c>
      <c r="F9" s="16">
        <v>6800</v>
      </c>
      <c r="G9" s="17">
        <f t="shared" si="0"/>
        <v>17000</v>
      </c>
    </row>
    <row r="10" spans="1:7" x14ac:dyDescent="0.4">
      <c r="A10" s="4" t="s">
        <v>51</v>
      </c>
      <c r="B10" s="4" t="s">
        <v>52</v>
      </c>
      <c r="C10" s="4" t="s">
        <v>38</v>
      </c>
      <c r="D10" s="16">
        <v>6300</v>
      </c>
      <c r="E10" s="16">
        <v>4200</v>
      </c>
      <c r="F10" s="16">
        <v>9500</v>
      </c>
      <c r="G10" s="17">
        <f t="shared" si="0"/>
        <v>20000</v>
      </c>
    </row>
    <row r="11" spans="1:7" x14ac:dyDescent="0.4">
      <c r="A11" s="4" t="s">
        <v>53</v>
      </c>
      <c r="B11" s="4" t="s">
        <v>54</v>
      </c>
      <c r="C11" s="4" t="s">
        <v>41</v>
      </c>
      <c r="D11" s="16">
        <v>5200</v>
      </c>
      <c r="E11" s="16">
        <v>4500</v>
      </c>
      <c r="F11" s="16">
        <v>8300</v>
      </c>
      <c r="G11" s="17">
        <f t="shared" si="0"/>
        <v>18000</v>
      </c>
    </row>
    <row r="12" spans="1:7" x14ac:dyDescent="0.4">
      <c r="A12" s="4" t="s">
        <v>55</v>
      </c>
      <c r="B12" s="4" t="s">
        <v>56</v>
      </c>
      <c r="C12" s="4" t="s">
        <v>44</v>
      </c>
      <c r="D12" s="16">
        <v>9200</v>
      </c>
      <c r="E12" s="16">
        <v>6000</v>
      </c>
      <c r="F12" s="16">
        <v>7700</v>
      </c>
      <c r="G12" s="17">
        <f t="shared" si="0"/>
        <v>22900</v>
      </c>
    </row>
    <row r="13" spans="1:7" x14ac:dyDescent="0.4">
      <c r="A13" s="4" t="s">
        <v>57</v>
      </c>
      <c r="B13" s="4" t="s">
        <v>58</v>
      </c>
      <c r="C13" s="4" t="s">
        <v>38</v>
      </c>
      <c r="D13" s="16">
        <v>8400</v>
      </c>
      <c r="E13" s="16">
        <v>8800</v>
      </c>
      <c r="F13" s="16">
        <v>9200</v>
      </c>
      <c r="G13" s="17">
        <f t="shared" si="0"/>
        <v>26400</v>
      </c>
    </row>
    <row r="14" spans="1:7" x14ac:dyDescent="0.4">
      <c r="A14" s="4" t="s">
        <v>59</v>
      </c>
      <c r="B14" s="4" t="s">
        <v>60</v>
      </c>
      <c r="C14" s="4" t="s">
        <v>41</v>
      </c>
      <c r="D14" s="16">
        <v>5800</v>
      </c>
      <c r="E14" s="16">
        <v>5900</v>
      </c>
      <c r="F14" s="16">
        <v>6900</v>
      </c>
      <c r="G14" s="17">
        <f t="shared" si="0"/>
        <v>18600</v>
      </c>
    </row>
    <row r="15" spans="1:7" x14ac:dyDescent="0.4">
      <c r="A15" s="4" t="s">
        <v>61</v>
      </c>
      <c r="B15" s="4" t="s">
        <v>62</v>
      </c>
      <c r="C15" s="4" t="s">
        <v>44</v>
      </c>
      <c r="D15" s="16">
        <v>5300</v>
      </c>
      <c r="E15" s="16">
        <v>8800</v>
      </c>
      <c r="F15" s="16">
        <v>4800</v>
      </c>
      <c r="G15" s="17">
        <f t="shared" si="0"/>
        <v>18900</v>
      </c>
    </row>
    <row r="16" spans="1:7" x14ac:dyDescent="0.4">
      <c r="A16" s="4" t="s">
        <v>63</v>
      </c>
      <c r="B16" s="4" t="s">
        <v>64</v>
      </c>
      <c r="C16" s="4" t="s">
        <v>38</v>
      </c>
      <c r="D16" s="16">
        <v>7300</v>
      </c>
      <c r="E16" s="16">
        <v>6000</v>
      </c>
      <c r="F16" s="16">
        <v>6500</v>
      </c>
      <c r="G16" s="17">
        <f t="shared" si="0"/>
        <v>19800</v>
      </c>
    </row>
    <row r="17" spans="1:7" x14ac:dyDescent="0.4">
      <c r="A17" s="4" t="s">
        <v>65</v>
      </c>
      <c r="B17" s="4" t="s">
        <v>66</v>
      </c>
      <c r="C17" s="4" t="s">
        <v>41</v>
      </c>
      <c r="D17" s="16">
        <v>8200</v>
      </c>
      <c r="E17" s="16">
        <v>4900</v>
      </c>
      <c r="F17" s="16">
        <v>5900</v>
      </c>
      <c r="G17" s="17">
        <f t="shared" si="0"/>
        <v>19000</v>
      </c>
    </row>
    <row r="18" spans="1:7" x14ac:dyDescent="0.4">
      <c r="A18" s="4" t="s">
        <v>67</v>
      </c>
      <c r="B18" s="4" t="s">
        <v>68</v>
      </c>
      <c r="C18" s="4" t="s">
        <v>44</v>
      </c>
      <c r="D18" s="16">
        <v>7300</v>
      </c>
      <c r="E18" s="16">
        <v>5200</v>
      </c>
      <c r="F18" s="16">
        <v>5900</v>
      </c>
      <c r="G18" s="17">
        <f t="shared" si="0"/>
        <v>18400</v>
      </c>
    </row>
    <row r="19" spans="1:7" x14ac:dyDescent="0.4">
      <c r="A19" s="4" t="s">
        <v>69</v>
      </c>
      <c r="B19" s="4" t="s">
        <v>70</v>
      </c>
      <c r="C19" s="4" t="s">
        <v>38</v>
      </c>
      <c r="D19" s="16">
        <v>5500</v>
      </c>
      <c r="E19" s="16">
        <v>5100</v>
      </c>
      <c r="F19" s="16">
        <v>4700</v>
      </c>
      <c r="G19" s="17">
        <f t="shared" si="0"/>
        <v>15300</v>
      </c>
    </row>
    <row r="20" spans="1:7" x14ac:dyDescent="0.4">
      <c r="A20" s="4" t="s">
        <v>71</v>
      </c>
      <c r="B20" s="4" t="s">
        <v>72</v>
      </c>
      <c r="C20" s="4" t="s">
        <v>41</v>
      </c>
      <c r="D20" s="16">
        <v>7300</v>
      </c>
      <c r="E20" s="16">
        <v>9300</v>
      </c>
      <c r="F20" s="16">
        <v>7400</v>
      </c>
      <c r="G20" s="17">
        <f t="shared" si="0"/>
        <v>24000</v>
      </c>
    </row>
  </sheetData>
  <sheetProtection sheet="1" objects="1" scenarios="1"/>
  <phoneticPr fontId="3" type="noConversion"/>
  <printOptions horizontalCentered="1"/>
  <pageMargins left="0.75" right="0.75" top="1" bottom="1" header="0.5" footer="0.5"/>
  <pageSetup paperSize="9" orientation="landscape" r:id="rId1"/>
  <headerFooter>
    <oddHeader>&amp;C3분기 영업 실적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M49"/>
  <sheetViews>
    <sheetView workbookViewId="0"/>
  </sheetViews>
  <sheetFormatPr defaultRowHeight="17.399999999999999" x14ac:dyDescent="0.4"/>
  <cols>
    <col min="1" max="2" width="10" customWidth="1"/>
    <col min="3" max="3" width="8" customWidth="1"/>
    <col min="4" max="6" width="11" customWidth="1"/>
    <col min="7" max="7" width="10" customWidth="1"/>
    <col min="8" max="8" width="3" customWidth="1"/>
    <col min="9" max="9" width="11" customWidth="1"/>
    <col min="10" max="11" width="10" customWidth="1"/>
    <col min="12" max="12" width="12" customWidth="1"/>
    <col min="13" max="13" width="8" customWidth="1"/>
  </cols>
  <sheetData>
    <row r="2" spans="1:12" x14ac:dyDescent="0.4">
      <c r="A2" s="7" t="s">
        <v>73</v>
      </c>
      <c r="I2" s="7" t="s">
        <v>74</v>
      </c>
    </row>
    <row r="3" spans="1:12" x14ac:dyDescent="0.4">
      <c r="A3" s="8" t="s">
        <v>75</v>
      </c>
      <c r="B3" s="8" t="s">
        <v>30</v>
      </c>
      <c r="C3" s="8" t="s">
        <v>31</v>
      </c>
      <c r="D3" s="8" t="s">
        <v>76</v>
      </c>
      <c r="E3" s="8" t="s">
        <v>77</v>
      </c>
      <c r="F3" s="8" t="s">
        <v>78</v>
      </c>
      <c r="G3" s="8" t="s">
        <v>79</v>
      </c>
      <c r="I3" s="8" t="s">
        <v>31</v>
      </c>
      <c r="J3" s="8" t="s">
        <v>80</v>
      </c>
      <c r="K3" s="8" t="s">
        <v>81</v>
      </c>
      <c r="L3" s="8" t="s">
        <v>82</v>
      </c>
    </row>
    <row r="4" spans="1:12" x14ac:dyDescent="0.4">
      <c r="A4" s="4" t="s">
        <v>83</v>
      </c>
      <c r="B4" s="4" t="s">
        <v>84</v>
      </c>
      <c r="C4" s="4" t="s">
        <v>85</v>
      </c>
      <c r="D4" s="4" t="s">
        <v>80</v>
      </c>
      <c r="E4" s="5">
        <v>2950000</v>
      </c>
      <c r="F4" s="4">
        <v>88</v>
      </c>
      <c r="G4" s="4" t="str">
        <f t="shared" ref="G4:G15" si="0">fn비고(D4,F4)</f>
        <v>승진후보</v>
      </c>
      <c r="I4" s="4" t="s">
        <v>85</v>
      </c>
      <c r="J4" s="5">
        <f t="array" ref="J4">AVERAGE(IF(($C$4:$C$15=$I4)*($D$4:$D$15=J$3),$E$4:$E$15))</f>
        <v>2970000</v>
      </c>
      <c r="K4" s="5">
        <f t="array" ref="K4">AVERAGE(IF(($C$4:$C$15=$I4)*($D$4:$D$15=K$3),$E$4:$E$15))</f>
        <v>3550000</v>
      </c>
      <c r="L4" s="5">
        <f t="array" ref="L4">AVERAGE(IF(($C$4:$C$15=$I4)*($D$4:$D$15=L$3),$E$4:$E$15))</f>
        <v>4410000</v>
      </c>
    </row>
    <row r="5" spans="1:12" x14ac:dyDescent="0.4">
      <c r="A5" s="4" t="s">
        <v>86</v>
      </c>
      <c r="B5" s="4" t="s">
        <v>87</v>
      </c>
      <c r="C5" s="4" t="s">
        <v>88</v>
      </c>
      <c r="D5" s="4" t="s">
        <v>81</v>
      </c>
      <c r="E5" s="5">
        <v>3480000</v>
      </c>
      <c r="F5" s="4">
        <v>91</v>
      </c>
      <c r="G5" s="4" t="str">
        <f t="shared" si="0"/>
        <v>승진후보</v>
      </c>
      <c r="I5" s="4" t="s">
        <v>88</v>
      </c>
      <c r="J5" s="5">
        <f t="array" ref="J5">AVERAGE(IF(($C$4:$C$15=$I5)*($D$4:$D$15=J$3),$E$4:$E$15))</f>
        <v>3010000</v>
      </c>
      <c r="K5" s="5">
        <f t="array" ref="K5">AVERAGE(IF(($C$4:$C$15=$I5)*($D$4:$D$15=K$3),$E$4:$E$15))</f>
        <v>3500000</v>
      </c>
      <c r="L5" s="5">
        <f t="array" ref="L5">AVERAGE(IF(($C$4:$C$15=$I5)*($D$4:$D$15=L$3),$E$4:$E$15))</f>
        <v>4270000</v>
      </c>
    </row>
    <row r="6" spans="1:12" x14ac:dyDescent="0.4">
      <c r="A6" s="4" t="s">
        <v>89</v>
      </c>
      <c r="B6" s="4" t="s">
        <v>90</v>
      </c>
      <c r="C6" s="4" t="s">
        <v>91</v>
      </c>
      <c r="D6" s="4" t="s">
        <v>82</v>
      </c>
      <c r="E6" s="5">
        <v>4320000</v>
      </c>
      <c r="F6" s="4">
        <v>79</v>
      </c>
      <c r="G6" s="4" t="str">
        <f t="shared" si="0"/>
        <v/>
      </c>
      <c r="I6" s="4" t="s">
        <v>91</v>
      </c>
      <c r="J6" s="5">
        <f t="array" ref="J6">AVERAGE(IF(($C$4:$C$15=$I6)*($D$4:$D$15=J$3),$E$4:$E$15))</f>
        <v>2880000</v>
      </c>
      <c r="K6" s="5">
        <f t="array" ref="K6">AVERAGE(IF(($C$4:$C$15=$I6)*($D$4:$D$15=K$3),$E$4:$E$15))</f>
        <v>3415000</v>
      </c>
      <c r="L6" s="5">
        <f t="array" ref="L6">AVERAGE(IF(($C$4:$C$15=$I6)*($D$4:$D$15=L$3),$E$4:$E$15))</f>
        <v>4320000</v>
      </c>
    </row>
    <row r="7" spans="1:12" x14ac:dyDescent="0.4">
      <c r="A7" s="4" t="s">
        <v>92</v>
      </c>
      <c r="B7" s="4" t="s">
        <v>93</v>
      </c>
      <c r="C7" s="4" t="s">
        <v>85</v>
      </c>
      <c r="D7" s="4" t="s">
        <v>81</v>
      </c>
      <c r="E7" s="5">
        <v>3550000</v>
      </c>
      <c r="F7" s="4">
        <v>57</v>
      </c>
      <c r="G7" s="4" t="str">
        <f t="shared" si="0"/>
        <v>면담</v>
      </c>
    </row>
    <row r="8" spans="1:12" x14ac:dyDescent="0.4">
      <c r="A8" s="4" t="s">
        <v>94</v>
      </c>
      <c r="B8" s="4" t="s">
        <v>95</v>
      </c>
      <c r="C8" s="4" t="s">
        <v>88</v>
      </c>
      <c r="D8" s="4" t="s">
        <v>80</v>
      </c>
      <c r="E8" s="5">
        <v>3010000</v>
      </c>
      <c r="F8" s="4">
        <v>72</v>
      </c>
      <c r="G8" s="4" t="str">
        <f t="shared" si="0"/>
        <v/>
      </c>
    </row>
    <row r="9" spans="1:12" x14ac:dyDescent="0.4">
      <c r="A9" s="4" t="s">
        <v>96</v>
      </c>
      <c r="B9" s="4" t="s">
        <v>97</v>
      </c>
      <c r="C9" s="4" t="s">
        <v>91</v>
      </c>
      <c r="D9" s="4" t="s">
        <v>80</v>
      </c>
      <c r="E9" s="5">
        <v>2880000</v>
      </c>
      <c r="F9" s="4">
        <v>93</v>
      </c>
      <c r="G9" s="4" t="str">
        <f t="shared" si="0"/>
        <v>승진후보</v>
      </c>
    </row>
    <row r="10" spans="1:12" x14ac:dyDescent="0.4">
      <c r="A10" s="4" t="s">
        <v>98</v>
      </c>
      <c r="B10" s="4" t="s">
        <v>99</v>
      </c>
      <c r="C10" s="4" t="s">
        <v>85</v>
      </c>
      <c r="D10" s="4" t="s">
        <v>82</v>
      </c>
      <c r="E10" s="5">
        <v>4410000</v>
      </c>
      <c r="F10" s="4">
        <v>90</v>
      </c>
      <c r="G10" s="4" t="str">
        <f t="shared" si="0"/>
        <v/>
      </c>
    </row>
    <row r="11" spans="1:12" x14ac:dyDescent="0.4">
      <c r="A11" s="4" t="s">
        <v>100</v>
      </c>
      <c r="B11" s="4" t="s">
        <v>101</v>
      </c>
      <c r="C11" s="4" t="s">
        <v>88</v>
      </c>
      <c r="D11" s="4" t="s">
        <v>82</v>
      </c>
      <c r="E11" s="5">
        <v>4270000</v>
      </c>
      <c r="F11" s="4">
        <v>64</v>
      </c>
      <c r="G11" s="4" t="str">
        <f t="shared" si="0"/>
        <v/>
      </c>
    </row>
    <row r="12" spans="1:12" x14ac:dyDescent="0.4">
      <c r="A12" s="4" t="s">
        <v>102</v>
      </c>
      <c r="B12" s="4" t="s">
        <v>103</v>
      </c>
      <c r="C12" s="4" t="s">
        <v>91</v>
      </c>
      <c r="D12" s="4" t="s">
        <v>81</v>
      </c>
      <c r="E12" s="5">
        <v>3390000</v>
      </c>
      <c r="F12" s="4">
        <v>86</v>
      </c>
      <c r="G12" s="4" t="str">
        <f t="shared" si="0"/>
        <v>승진후보</v>
      </c>
    </row>
    <row r="13" spans="1:12" x14ac:dyDescent="0.4">
      <c r="A13" s="4" t="s">
        <v>104</v>
      </c>
      <c r="B13" s="4" t="s">
        <v>105</v>
      </c>
      <c r="C13" s="4" t="s">
        <v>85</v>
      </c>
      <c r="D13" s="4" t="s">
        <v>80</v>
      </c>
      <c r="E13" s="5">
        <v>2990000</v>
      </c>
      <c r="F13" s="4">
        <v>55</v>
      </c>
      <c r="G13" s="4" t="str">
        <f t="shared" si="0"/>
        <v>면담</v>
      </c>
    </row>
    <row r="14" spans="1:12" x14ac:dyDescent="0.4">
      <c r="A14" s="4" t="s">
        <v>106</v>
      </c>
      <c r="B14" s="4" t="s">
        <v>107</v>
      </c>
      <c r="C14" s="4" t="s">
        <v>88</v>
      </c>
      <c r="D14" s="4" t="s">
        <v>81</v>
      </c>
      <c r="E14" s="5">
        <v>3520000</v>
      </c>
      <c r="F14" s="4">
        <v>82</v>
      </c>
      <c r="G14" s="4" t="str">
        <f t="shared" si="0"/>
        <v/>
      </c>
    </row>
    <row r="15" spans="1:12" x14ac:dyDescent="0.4">
      <c r="A15" s="4" t="s">
        <v>108</v>
      </c>
      <c r="B15" s="4" t="s">
        <v>109</v>
      </c>
      <c r="C15" s="4" t="s">
        <v>91</v>
      </c>
      <c r="D15" s="4" t="s">
        <v>81</v>
      </c>
      <c r="E15" s="5">
        <v>3440000</v>
      </c>
      <c r="F15" s="4">
        <v>68</v>
      </c>
      <c r="G15" s="4" t="str">
        <f t="shared" si="0"/>
        <v/>
      </c>
    </row>
    <row r="18" spans="1:13" x14ac:dyDescent="0.4">
      <c r="A18" s="7" t="s">
        <v>110</v>
      </c>
      <c r="I18" s="7" t="s">
        <v>111</v>
      </c>
    </row>
    <row r="19" spans="1:13" x14ac:dyDescent="0.4">
      <c r="A19" s="8" t="s">
        <v>112</v>
      </c>
      <c r="B19" s="8" t="s">
        <v>113</v>
      </c>
      <c r="C19" s="8" t="s">
        <v>5</v>
      </c>
      <c r="D19" s="8" t="s">
        <v>6</v>
      </c>
      <c r="E19" s="8" t="s">
        <v>7</v>
      </c>
      <c r="F19" s="8" t="s">
        <v>114</v>
      </c>
      <c r="I19" s="8" t="s">
        <v>5</v>
      </c>
      <c r="J19" s="8">
        <v>0</v>
      </c>
      <c r="K19" s="8">
        <v>10</v>
      </c>
      <c r="L19" s="8">
        <v>30</v>
      </c>
      <c r="M19" s="8">
        <v>50</v>
      </c>
    </row>
    <row r="20" spans="1:13" x14ac:dyDescent="0.4">
      <c r="A20" s="4" t="s">
        <v>115</v>
      </c>
      <c r="B20" s="4" t="s">
        <v>116</v>
      </c>
      <c r="C20" s="4" t="s">
        <v>117</v>
      </c>
      <c r="D20" s="4">
        <v>12</v>
      </c>
      <c r="E20" s="5">
        <v>320000</v>
      </c>
      <c r="F20" s="9">
        <f t="shared" ref="F20:F29" si="1">INDEX($J$20:$M$22,MATCH(C20,$I$20:$I$22,0),MATCH(D20,$J$19:$M$19,1))</f>
        <v>0.02</v>
      </c>
      <c r="I20" s="4" t="s">
        <v>117</v>
      </c>
      <c r="J20" s="10">
        <v>0</v>
      </c>
      <c r="K20" s="10">
        <v>0.02</v>
      </c>
      <c r="L20" s="10">
        <v>0.04</v>
      </c>
      <c r="M20" s="10">
        <v>7.0000000000000007E-2</v>
      </c>
    </row>
    <row r="21" spans="1:13" x14ac:dyDescent="0.4">
      <c r="A21" s="4" t="s">
        <v>118</v>
      </c>
      <c r="B21" s="4" t="s">
        <v>119</v>
      </c>
      <c r="C21" s="4" t="s">
        <v>120</v>
      </c>
      <c r="D21" s="4">
        <v>4</v>
      </c>
      <c r="E21" s="5">
        <v>540000</v>
      </c>
      <c r="F21" s="9">
        <f t="shared" si="1"/>
        <v>0</v>
      </c>
      <c r="I21" s="4" t="s">
        <v>120</v>
      </c>
      <c r="J21" s="9">
        <v>0</v>
      </c>
      <c r="K21" s="9">
        <v>0.03</v>
      </c>
      <c r="L21" s="9">
        <v>0.05</v>
      </c>
      <c r="M21" s="9">
        <v>0.08</v>
      </c>
    </row>
    <row r="22" spans="1:13" x14ac:dyDescent="0.4">
      <c r="A22" s="4" t="s">
        <v>121</v>
      </c>
      <c r="B22" s="4" t="s">
        <v>122</v>
      </c>
      <c r="C22" s="4" t="s">
        <v>123</v>
      </c>
      <c r="D22" s="4">
        <v>55</v>
      </c>
      <c r="E22" s="5">
        <v>18000</v>
      </c>
      <c r="F22" s="9">
        <f t="shared" si="1"/>
        <v>0.05</v>
      </c>
      <c r="I22" s="4" t="s">
        <v>123</v>
      </c>
      <c r="J22" s="9">
        <v>0</v>
      </c>
      <c r="K22" s="9">
        <v>0.01</v>
      </c>
      <c r="L22" s="9">
        <v>0.03</v>
      </c>
      <c r="M22" s="9">
        <v>0.05</v>
      </c>
    </row>
    <row r="23" spans="1:13" x14ac:dyDescent="0.4">
      <c r="A23" s="4" t="s">
        <v>124</v>
      </c>
      <c r="B23" s="4" t="s">
        <v>125</v>
      </c>
      <c r="C23" s="4" t="s">
        <v>117</v>
      </c>
      <c r="D23" s="4">
        <v>31</v>
      </c>
      <c r="E23" s="5">
        <v>295000</v>
      </c>
      <c r="F23" s="9">
        <f t="shared" si="1"/>
        <v>0.04</v>
      </c>
    </row>
    <row r="24" spans="1:13" x14ac:dyDescent="0.4">
      <c r="A24" s="4" t="s">
        <v>126</v>
      </c>
      <c r="B24" s="4" t="s">
        <v>116</v>
      </c>
      <c r="C24" s="4" t="s">
        <v>123</v>
      </c>
      <c r="D24" s="4">
        <v>9</v>
      </c>
      <c r="E24" s="5">
        <v>22000</v>
      </c>
      <c r="F24" s="9">
        <f t="shared" si="1"/>
        <v>0</v>
      </c>
    </row>
    <row r="25" spans="1:13" x14ac:dyDescent="0.4">
      <c r="A25" s="4" t="s">
        <v>127</v>
      </c>
      <c r="B25" s="4" t="s">
        <v>128</v>
      </c>
      <c r="C25" s="4" t="s">
        <v>120</v>
      </c>
      <c r="D25" s="4">
        <v>18</v>
      </c>
      <c r="E25" s="5">
        <v>610000</v>
      </c>
      <c r="F25" s="9">
        <f t="shared" si="1"/>
        <v>0.03</v>
      </c>
    </row>
    <row r="26" spans="1:13" x14ac:dyDescent="0.4">
      <c r="A26" s="4" t="s">
        <v>129</v>
      </c>
      <c r="B26" s="4" t="s">
        <v>119</v>
      </c>
      <c r="C26" s="4" t="s">
        <v>117</v>
      </c>
      <c r="D26" s="4">
        <v>50</v>
      </c>
      <c r="E26" s="5">
        <v>280000</v>
      </c>
      <c r="F26" s="9">
        <f t="shared" si="1"/>
        <v>7.0000000000000007E-2</v>
      </c>
    </row>
    <row r="27" spans="1:13" x14ac:dyDescent="0.4">
      <c r="A27" s="4" t="s">
        <v>130</v>
      </c>
      <c r="B27" s="4" t="s">
        <v>122</v>
      </c>
      <c r="C27" s="4" t="s">
        <v>120</v>
      </c>
      <c r="D27" s="4">
        <v>33</v>
      </c>
      <c r="E27" s="5">
        <v>480000</v>
      </c>
      <c r="F27" s="9">
        <f t="shared" si="1"/>
        <v>0.05</v>
      </c>
    </row>
    <row r="28" spans="1:13" x14ac:dyDescent="0.4">
      <c r="A28" s="4" t="s">
        <v>131</v>
      </c>
      <c r="B28" s="4" t="s">
        <v>128</v>
      </c>
      <c r="C28" s="4" t="s">
        <v>123</v>
      </c>
      <c r="D28" s="4">
        <v>27</v>
      </c>
      <c r="E28" s="5">
        <v>15000</v>
      </c>
      <c r="F28" s="9">
        <f t="shared" si="1"/>
        <v>0.01</v>
      </c>
    </row>
    <row r="29" spans="1:13" x14ac:dyDescent="0.4">
      <c r="A29" s="4" t="s">
        <v>132</v>
      </c>
      <c r="B29" s="4" t="s">
        <v>125</v>
      </c>
      <c r="C29" s="4" t="s">
        <v>117</v>
      </c>
      <c r="D29" s="4">
        <v>7</v>
      </c>
      <c r="E29" s="5">
        <v>350000</v>
      </c>
      <c r="F29" s="9">
        <f t="shared" si="1"/>
        <v>0</v>
      </c>
    </row>
    <row r="32" spans="1:13" x14ac:dyDescent="0.4">
      <c r="A32" s="7" t="s">
        <v>133</v>
      </c>
      <c r="I32" s="7" t="s">
        <v>134</v>
      </c>
    </row>
    <row r="33" spans="1:12" x14ac:dyDescent="0.4">
      <c r="A33" s="8" t="s">
        <v>135</v>
      </c>
      <c r="B33" s="8" t="s">
        <v>30</v>
      </c>
      <c r="C33" s="8" t="s">
        <v>136</v>
      </c>
      <c r="D33" s="8" t="s">
        <v>137</v>
      </c>
      <c r="E33" s="8" t="s">
        <v>138</v>
      </c>
      <c r="F33" s="8" t="s">
        <v>139</v>
      </c>
      <c r="I33" s="8" t="s">
        <v>140</v>
      </c>
      <c r="J33" s="8" t="s">
        <v>141</v>
      </c>
      <c r="K33" s="8" t="s">
        <v>142</v>
      </c>
      <c r="L33" s="8" t="s">
        <v>143</v>
      </c>
    </row>
    <row r="34" spans="1:12" x14ac:dyDescent="0.4">
      <c r="A34" s="4" t="s">
        <v>144</v>
      </c>
      <c r="B34" s="4" t="s">
        <v>145</v>
      </c>
      <c r="C34" s="4" t="s">
        <v>146</v>
      </c>
      <c r="D34" s="3">
        <v>43538</v>
      </c>
      <c r="E34" s="5">
        <v>1285400</v>
      </c>
      <c r="F34" s="4" t="str">
        <f t="shared" ref="F34:F43" si="2">TEXT(ROUNDDOWN(E34*_xlfn.IFS(YEAR(D34)&lt;=2020,3%,YEAR(D34)&lt;=2023,2%,TRUE,1%),-1),"#,##0")&amp;"P"</f>
        <v>38,560P</v>
      </c>
      <c r="I34" s="4" t="s">
        <v>147</v>
      </c>
      <c r="J34" s="4" t="s">
        <v>148</v>
      </c>
      <c r="K34" s="4" t="s">
        <v>149</v>
      </c>
      <c r="L34" s="5">
        <v>185000</v>
      </c>
    </row>
    <row r="35" spans="1:12" x14ac:dyDescent="0.4">
      <c r="A35" s="4" t="s">
        <v>150</v>
      </c>
      <c r="B35" s="4" t="s">
        <v>151</v>
      </c>
      <c r="C35" s="4" t="s">
        <v>152</v>
      </c>
      <c r="D35" s="3">
        <v>44379</v>
      </c>
      <c r="E35" s="5">
        <v>864300</v>
      </c>
      <c r="F35" s="4" t="str">
        <f t="shared" si="2"/>
        <v>17,280P</v>
      </c>
      <c r="I35" s="4" t="s">
        <v>153</v>
      </c>
      <c r="J35" s="4" t="s">
        <v>154</v>
      </c>
      <c r="K35" s="4" t="s">
        <v>155</v>
      </c>
      <c r="L35" s="5">
        <v>420000</v>
      </c>
    </row>
    <row r="36" spans="1:12" x14ac:dyDescent="0.4">
      <c r="A36" s="4" t="s">
        <v>156</v>
      </c>
      <c r="B36" s="4" t="s">
        <v>157</v>
      </c>
      <c r="C36" s="4" t="s">
        <v>158</v>
      </c>
      <c r="D36" s="3">
        <v>45310</v>
      </c>
      <c r="E36" s="5">
        <v>452780</v>
      </c>
      <c r="F36" s="4" t="str">
        <f t="shared" si="2"/>
        <v>4,520P</v>
      </c>
      <c r="I36" s="4" t="s">
        <v>159</v>
      </c>
      <c r="J36" s="4" t="s">
        <v>148</v>
      </c>
      <c r="K36" s="4" t="s">
        <v>155</v>
      </c>
      <c r="L36" s="5">
        <v>615000</v>
      </c>
    </row>
    <row r="37" spans="1:12" x14ac:dyDescent="0.4">
      <c r="A37" s="4" t="s">
        <v>160</v>
      </c>
      <c r="B37" s="4" t="s">
        <v>161</v>
      </c>
      <c r="C37" s="4" t="s">
        <v>146</v>
      </c>
      <c r="D37" s="3">
        <v>44165</v>
      </c>
      <c r="E37" s="5">
        <v>2310500</v>
      </c>
      <c r="F37" s="4" t="str">
        <f t="shared" si="2"/>
        <v>69,310P</v>
      </c>
      <c r="I37" s="4" t="s">
        <v>162</v>
      </c>
      <c r="J37" s="4" t="s">
        <v>163</v>
      </c>
      <c r="K37" s="4" t="s">
        <v>149</v>
      </c>
      <c r="L37" s="5">
        <v>210000</v>
      </c>
    </row>
    <row r="38" spans="1:12" x14ac:dyDescent="0.4">
      <c r="A38" s="4" t="s">
        <v>164</v>
      </c>
      <c r="B38" s="4" t="s">
        <v>165</v>
      </c>
      <c r="C38" s="4" t="s">
        <v>166</v>
      </c>
      <c r="D38" s="3">
        <v>45054</v>
      </c>
      <c r="E38" s="5">
        <v>698120</v>
      </c>
      <c r="F38" s="4" t="str">
        <f t="shared" si="2"/>
        <v>13,960P</v>
      </c>
      <c r="I38" s="4" t="s">
        <v>167</v>
      </c>
      <c r="J38" s="4" t="s">
        <v>148</v>
      </c>
      <c r="K38" s="4" t="s">
        <v>149</v>
      </c>
      <c r="L38" s="5">
        <v>172500</v>
      </c>
    </row>
    <row r="39" spans="1:12" x14ac:dyDescent="0.4">
      <c r="A39" s="4" t="s">
        <v>168</v>
      </c>
      <c r="B39" s="4" t="s">
        <v>169</v>
      </c>
      <c r="C39" s="4" t="s">
        <v>152</v>
      </c>
      <c r="D39" s="3">
        <v>43364</v>
      </c>
      <c r="E39" s="5">
        <v>1742060</v>
      </c>
      <c r="F39" s="4" t="str">
        <f t="shared" si="2"/>
        <v>52,260P</v>
      </c>
      <c r="I39" s="4" t="s">
        <v>170</v>
      </c>
      <c r="J39" s="4" t="s">
        <v>154</v>
      </c>
      <c r="K39" s="4" t="s">
        <v>149</v>
      </c>
      <c r="L39" s="5">
        <v>158000</v>
      </c>
    </row>
    <row r="40" spans="1:12" x14ac:dyDescent="0.4">
      <c r="A40" s="4" t="s">
        <v>171</v>
      </c>
      <c r="B40" s="4" t="s">
        <v>172</v>
      </c>
      <c r="C40" s="4" t="s">
        <v>146</v>
      </c>
      <c r="D40" s="3">
        <v>45699</v>
      </c>
      <c r="E40" s="5">
        <v>315990</v>
      </c>
      <c r="F40" s="4" t="str">
        <f t="shared" si="2"/>
        <v>3,150P</v>
      </c>
      <c r="I40" s="4" t="s">
        <v>173</v>
      </c>
      <c r="J40" s="4" t="s">
        <v>148</v>
      </c>
      <c r="K40" s="4" t="s">
        <v>174</v>
      </c>
      <c r="L40" s="5">
        <v>1320000</v>
      </c>
    </row>
    <row r="41" spans="1:12" x14ac:dyDescent="0.4">
      <c r="A41" s="4" t="s">
        <v>175</v>
      </c>
      <c r="B41" s="4" t="s">
        <v>176</v>
      </c>
      <c r="C41" s="4" t="s">
        <v>158</v>
      </c>
      <c r="D41" s="3">
        <v>44790</v>
      </c>
      <c r="E41" s="5">
        <v>1029870</v>
      </c>
      <c r="F41" s="4" t="str">
        <f t="shared" si="2"/>
        <v>20,590P</v>
      </c>
      <c r="I41" s="4" t="s">
        <v>177</v>
      </c>
      <c r="J41" s="4" t="s">
        <v>163</v>
      </c>
      <c r="K41" s="4" t="s">
        <v>155</v>
      </c>
      <c r="L41" s="5">
        <v>388000</v>
      </c>
    </row>
    <row r="42" spans="1:12" x14ac:dyDescent="0.4">
      <c r="A42" s="4" t="s">
        <v>178</v>
      </c>
      <c r="B42" s="4" t="s">
        <v>179</v>
      </c>
      <c r="C42" s="4" t="s">
        <v>166</v>
      </c>
      <c r="D42" s="3">
        <v>43924</v>
      </c>
      <c r="E42" s="5">
        <v>577640</v>
      </c>
      <c r="F42" s="4" t="str">
        <f t="shared" si="2"/>
        <v>17,320P</v>
      </c>
      <c r="I42" s="4" t="s">
        <v>180</v>
      </c>
      <c r="J42" s="4" t="s">
        <v>148</v>
      </c>
      <c r="K42" s="4" t="s">
        <v>149</v>
      </c>
      <c r="L42" s="5">
        <v>204700</v>
      </c>
    </row>
    <row r="43" spans="1:12" x14ac:dyDescent="0.4">
      <c r="A43" s="4" t="s">
        <v>181</v>
      </c>
      <c r="B43" s="4" t="s">
        <v>182</v>
      </c>
      <c r="C43" s="4" t="s">
        <v>146</v>
      </c>
      <c r="D43" s="3">
        <v>45590</v>
      </c>
      <c r="E43" s="5">
        <v>948310</v>
      </c>
      <c r="F43" s="4" t="str">
        <f t="shared" si="2"/>
        <v>9,480P</v>
      </c>
      <c r="I43" s="4" t="s">
        <v>183</v>
      </c>
      <c r="J43" s="4" t="s">
        <v>154</v>
      </c>
      <c r="K43" s="4" t="s">
        <v>174</v>
      </c>
      <c r="L43" s="5">
        <v>970000</v>
      </c>
    </row>
    <row r="45" spans="1:12" x14ac:dyDescent="0.4">
      <c r="I45" s="15" t="s">
        <v>184</v>
      </c>
      <c r="J45" s="15"/>
      <c r="K45" s="15"/>
      <c r="L45" s="4" t="str">
        <f>TEXT(ROUNDDOWN(DAVERAGE(I33:L43,4,I48:J49),-3),"#,##0")&amp;"원"</f>
        <v>187,000원</v>
      </c>
    </row>
    <row r="47" spans="1:12" x14ac:dyDescent="0.4">
      <c r="I47" s="7" t="s">
        <v>185</v>
      </c>
    </row>
    <row r="48" spans="1:12" x14ac:dyDescent="0.4">
      <c r="I48" s="8" t="s">
        <v>141</v>
      </c>
      <c r="J48" s="8" t="s">
        <v>142</v>
      </c>
    </row>
    <row r="49" spans="9:10" x14ac:dyDescent="0.4">
      <c r="I49" s="4" t="s">
        <v>148</v>
      </c>
      <c r="J49" s="4" t="s">
        <v>149</v>
      </c>
    </row>
  </sheetData>
  <mergeCells count="1">
    <mergeCell ref="I45:K45"/>
  </mergeCells>
  <phoneticPr fontId="3" type="noConversion"/>
  <pageMargins left="0.75" right="0.75" top="1" bottom="1" header="0.5" footer="0.5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39"/>
  <sheetViews>
    <sheetView workbookViewId="0"/>
  </sheetViews>
  <sheetFormatPr defaultRowHeight="17.399999999999999" x14ac:dyDescent="0.4"/>
  <cols>
    <col min="1" max="1" width="12" customWidth="1"/>
    <col min="2" max="3" width="7" customWidth="1"/>
    <col min="4" max="4" width="9" customWidth="1"/>
    <col min="5" max="5" width="7" customWidth="1"/>
    <col min="6" max="6" width="12" customWidth="1"/>
    <col min="8" max="8" width="10.59765625" bestFit="1" customWidth="1"/>
    <col min="9" max="12" width="10.3984375" bestFit="1" customWidth="1"/>
  </cols>
  <sheetData>
    <row r="1" spans="1:12" x14ac:dyDescent="0.4">
      <c r="A1" t="s">
        <v>186</v>
      </c>
      <c r="H1" s="18" t="s">
        <v>2</v>
      </c>
      <c r="I1" t="s">
        <v>263</v>
      </c>
    </row>
    <row r="3" spans="1:12" x14ac:dyDescent="0.4">
      <c r="A3" s="7" t="s">
        <v>1</v>
      </c>
      <c r="B3" s="7" t="s">
        <v>2</v>
      </c>
      <c r="C3" s="7" t="s">
        <v>5</v>
      </c>
      <c r="D3" s="7" t="s">
        <v>3</v>
      </c>
      <c r="E3" s="7" t="s">
        <v>6</v>
      </c>
      <c r="F3" s="7" t="s">
        <v>187</v>
      </c>
      <c r="H3" s="18" t="s">
        <v>265</v>
      </c>
      <c r="I3" s="18" t="s">
        <v>5</v>
      </c>
    </row>
    <row r="4" spans="1:12" x14ac:dyDescent="0.4">
      <c r="A4" s="11">
        <v>46025</v>
      </c>
      <c r="B4" t="s">
        <v>9</v>
      </c>
      <c r="C4" t="s">
        <v>117</v>
      </c>
      <c r="D4" t="s">
        <v>188</v>
      </c>
      <c r="E4">
        <v>4</v>
      </c>
      <c r="F4" s="12">
        <v>500000</v>
      </c>
      <c r="H4" s="18" t="s">
        <v>1</v>
      </c>
      <c r="I4" t="s">
        <v>120</v>
      </c>
      <c r="J4" t="s">
        <v>117</v>
      </c>
      <c r="K4" t="s">
        <v>123</v>
      </c>
      <c r="L4" t="s">
        <v>264</v>
      </c>
    </row>
    <row r="5" spans="1:12" x14ac:dyDescent="0.4">
      <c r="A5" s="11">
        <v>46029</v>
      </c>
      <c r="B5" t="s">
        <v>13</v>
      </c>
      <c r="C5" t="s">
        <v>120</v>
      </c>
      <c r="D5" t="s">
        <v>189</v>
      </c>
      <c r="E5">
        <v>20</v>
      </c>
      <c r="F5" s="12">
        <v>4200000</v>
      </c>
      <c r="H5" s="11" t="s">
        <v>235</v>
      </c>
      <c r="I5" s="12">
        <v>8190000</v>
      </c>
      <c r="J5" s="12">
        <v>2500000</v>
      </c>
      <c r="K5" s="12">
        <v>234000</v>
      </c>
      <c r="L5" s="12">
        <v>10924000</v>
      </c>
    </row>
    <row r="6" spans="1:12" x14ac:dyDescent="0.4">
      <c r="A6" s="11">
        <v>46033</v>
      </c>
      <c r="B6" t="s">
        <v>17</v>
      </c>
      <c r="C6" t="s">
        <v>123</v>
      </c>
      <c r="D6" t="s">
        <v>190</v>
      </c>
      <c r="E6">
        <v>5</v>
      </c>
      <c r="F6" s="12">
        <v>90000</v>
      </c>
      <c r="H6" s="11" t="s">
        <v>236</v>
      </c>
      <c r="I6" s="12">
        <v>2730000</v>
      </c>
      <c r="J6" s="12">
        <v>4625000</v>
      </c>
      <c r="K6" s="12">
        <v>234000</v>
      </c>
      <c r="L6" s="12">
        <v>7589000</v>
      </c>
    </row>
    <row r="7" spans="1:12" x14ac:dyDescent="0.4">
      <c r="A7" s="11">
        <v>46037</v>
      </c>
      <c r="B7" t="s">
        <v>9</v>
      </c>
      <c r="C7" t="s">
        <v>120</v>
      </c>
      <c r="D7" t="s">
        <v>188</v>
      </c>
      <c r="E7">
        <v>19</v>
      </c>
      <c r="F7" s="12">
        <v>3990000</v>
      </c>
      <c r="H7" s="11" t="s">
        <v>237</v>
      </c>
      <c r="I7" s="12">
        <v>5040000</v>
      </c>
      <c r="J7" s="12">
        <v>2875000</v>
      </c>
      <c r="K7" s="12">
        <v>864000</v>
      </c>
      <c r="L7" s="12">
        <v>8779000</v>
      </c>
    </row>
    <row r="8" spans="1:12" x14ac:dyDescent="0.4">
      <c r="A8" s="11">
        <v>46041</v>
      </c>
      <c r="B8" t="s">
        <v>13</v>
      </c>
      <c r="C8" t="s">
        <v>123</v>
      </c>
      <c r="D8" t="s">
        <v>189</v>
      </c>
      <c r="E8">
        <v>8</v>
      </c>
      <c r="F8" s="12">
        <v>144000</v>
      </c>
      <c r="H8" s="11" t="s">
        <v>238</v>
      </c>
      <c r="I8" s="12">
        <v>7770000</v>
      </c>
      <c r="J8" s="12">
        <v>4375000</v>
      </c>
      <c r="K8" s="12">
        <v>522000</v>
      </c>
      <c r="L8" s="12">
        <v>12667000</v>
      </c>
    </row>
    <row r="9" spans="1:12" x14ac:dyDescent="0.4">
      <c r="A9" s="11">
        <v>46045</v>
      </c>
      <c r="B9" t="s">
        <v>17</v>
      </c>
      <c r="C9" t="s">
        <v>117</v>
      </c>
      <c r="D9" t="s">
        <v>190</v>
      </c>
      <c r="E9">
        <v>16</v>
      </c>
      <c r="F9" s="12">
        <v>2000000</v>
      </c>
      <c r="H9" s="11" t="s">
        <v>239</v>
      </c>
      <c r="I9" s="12">
        <v>8610000</v>
      </c>
      <c r="J9" s="12">
        <v>4000000</v>
      </c>
      <c r="K9" s="12">
        <v>324000</v>
      </c>
      <c r="L9" s="12">
        <v>12934000</v>
      </c>
    </row>
    <row r="10" spans="1:12" x14ac:dyDescent="0.4">
      <c r="A10" s="11">
        <v>46056</v>
      </c>
      <c r="B10" t="s">
        <v>9</v>
      </c>
      <c r="C10" t="s">
        <v>123</v>
      </c>
      <c r="D10" t="s">
        <v>188</v>
      </c>
      <c r="E10">
        <v>3</v>
      </c>
      <c r="F10" s="12">
        <v>54000</v>
      </c>
      <c r="H10" s="11" t="s">
        <v>240</v>
      </c>
      <c r="I10" s="12">
        <v>3780000</v>
      </c>
      <c r="J10" s="12">
        <v>4500000</v>
      </c>
      <c r="K10" s="12">
        <v>126000</v>
      </c>
      <c r="L10" s="12">
        <v>8406000</v>
      </c>
    </row>
    <row r="11" spans="1:12" x14ac:dyDescent="0.4">
      <c r="A11" s="11">
        <v>46060</v>
      </c>
      <c r="B11" t="s">
        <v>13</v>
      </c>
      <c r="C11" t="s">
        <v>117</v>
      </c>
      <c r="D11" t="s">
        <v>189</v>
      </c>
      <c r="E11">
        <v>12</v>
      </c>
      <c r="F11" s="12">
        <v>1500000</v>
      </c>
      <c r="H11" s="11" t="s">
        <v>264</v>
      </c>
      <c r="I11" s="12">
        <v>36120000</v>
      </c>
      <c r="J11" s="12">
        <v>22875000</v>
      </c>
      <c r="K11" s="12">
        <v>2304000</v>
      </c>
      <c r="L11" s="12">
        <v>61299000</v>
      </c>
    </row>
    <row r="12" spans="1:12" x14ac:dyDescent="0.4">
      <c r="A12" s="11">
        <v>46064</v>
      </c>
      <c r="B12" t="s">
        <v>17</v>
      </c>
      <c r="C12" t="s">
        <v>120</v>
      </c>
      <c r="D12" t="s">
        <v>190</v>
      </c>
      <c r="E12">
        <v>3</v>
      </c>
      <c r="F12" s="12">
        <v>630000</v>
      </c>
    </row>
    <row r="13" spans="1:12" x14ac:dyDescent="0.4">
      <c r="A13" s="11">
        <v>46068</v>
      </c>
      <c r="B13" t="s">
        <v>9</v>
      </c>
      <c r="C13" t="s">
        <v>117</v>
      </c>
      <c r="D13" t="s">
        <v>188</v>
      </c>
      <c r="E13">
        <v>25</v>
      </c>
      <c r="F13" s="12">
        <v>3125000</v>
      </c>
    </row>
    <row r="14" spans="1:12" x14ac:dyDescent="0.4">
      <c r="A14" s="11">
        <v>46072</v>
      </c>
      <c r="B14" t="s">
        <v>13</v>
      </c>
      <c r="C14" t="s">
        <v>120</v>
      </c>
      <c r="D14" t="s">
        <v>189</v>
      </c>
      <c r="E14">
        <v>10</v>
      </c>
      <c r="F14" s="12">
        <v>2100000</v>
      </c>
    </row>
    <row r="15" spans="1:12" x14ac:dyDescent="0.4">
      <c r="A15" s="11">
        <v>46076</v>
      </c>
      <c r="B15" t="s">
        <v>17</v>
      </c>
      <c r="C15" t="s">
        <v>123</v>
      </c>
      <c r="D15" t="s">
        <v>190</v>
      </c>
      <c r="E15">
        <v>10</v>
      </c>
      <c r="F15" s="12">
        <v>180000</v>
      </c>
    </row>
    <row r="16" spans="1:12" x14ac:dyDescent="0.4">
      <c r="A16" s="11">
        <v>46084</v>
      </c>
      <c r="B16" t="s">
        <v>9</v>
      </c>
      <c r="C16" t="s">
        <v>120</v>
      </c>
      <c r="D16" t="s">
        <v>188</v>
      </c>
      <c r="E16">
        <v>20</v>
      </c>
      <c r="F16" s="12">
        <v>4200000</v>
      </c>
    </row>
    <row r="17" spans="1:6" x14ac:dyDescent="0.4">
      <c r="A17" s="11">
        <v>46088</v>
      </c>
      <c r="B17" t="s">
        <v>13</v>
      </c>
      <c r="C17" t="s">
        <v>123</v>
      </c>
      <c r="D17" t="s">
        <v>189</v>
      </c>
      <c r="E17">
        <v>25</v>
      </c>
      <c r="F17" s="12">
        <v>450000</v>
      </c>
    </row>
    <row r="18" spans="1:6" x14ac:dyDescent="0.4">
      <c r="A18" s="11">
        <v>46092</v>
      </c>
      <c r="B18" t="s">
        <v>17</v>
      </c>
      <c r="C18" t="s">
        <v>117</v>
      </c>
      <c r="D18" t="s">
        <v>190</v>
      </c>
      <c r="E18">
        <v>5</v>
      </c>
      <c r="F18" s="12">
        <v>625000</v>
      </c>
    </row>
    <row r="19" spans="1:6" x14ac:dyDescent="0.4">
      <c r="A19" s="11">
        <v>46096</v>
      </c>
      <c r="B19" t="s">
        <v>9</v>
      </c>
      <c r="C19" t="s">
        <v>123</v>
      </c>
      <c r="D19" t="s">
        <v>188</v>
      </c>
      <c r="E19">
        <v>23</v>
      </c>
      <c r="F19" s="12">
        <v>414000</v>
      </c>
    </row>
    <row r="20" spans="1:6" x14ac:dyDescent="0.4">
      <c r="A20" s="11">
        <v>46100</v>
      </c>
      <c r="B20" t="s">
        <v>13</v>
      </c>
      <c r="C20" t="s">
        <v>117</v>
      </c>
      <c r="D20" t="s">
        <v>189</v>
      </c>
      <c r="E20">
        <v>18</v>
      </c>
      <c r="F20" s="12">
        <v>2250000</v>
      </c>
    </row>
    <row r="21" spans="1:6" x14ac:dyDescent="0.4">
      <c r="A21" s="11">
        <v>46104</v>
      </c>
      <c r="B21" t="s">
        <v>17</v>
      </c>
      <c r="C21" t="s">
        <v>120</v>
      </c>
      <c r="D21" t="s">
        <v>190</v>
      </c>
      <c r="E21">
        <v>4</v>
      </c>
      <c r="F21" s="12">
        <v>840000</v>
      </c>
    </row>
    <row r="22" spans="1:6" x14ac:dyDescent="0.4">
      <c r="A22" s="11">
        <v>46115</v>
      </c>
      <c r="B22" t="s">
        <v>9</v>
      </c>
      <c r="C22" t="s">
        <v>117</v>
      </c>
      <c r="D22" t="s">
        <v>188</v>
      </c>
      <c r="E22">
        <v>16</v>
      </c>
      <c r="F22" s="12">
        <v>2000000</v>
      </c>
    </row>
    <row r="23" spans="1:6" x14ac:dyDescent="0.4">
      <c r="A23" s="11">
        <v>46119</v>
      </c>
      <c r="B23" t="s">
        <v>13</v>
      </c>
      <c r="C23" t="s">
        <v>120</v>
      </c>
      <c r="D23" t="s">
        <v>189</v>
      </c>
      <c r="E23">
        <v>18</v>
      </c>
      <c r="F23" s="12">
        <v>3780000</v>
      </c>
    </row>
    <row r="24" spans="1:6" x14ac:dyDescent="0.4">
      <c r="A24" s="11">
        <v>46123</v>
      </c>
      <c r="B24" t="s">
        <v>17</v>
      </c>
      <c r="C24" t="s">
        <v>123</v>
      </c>
      <c r="D24" t="s">
        <v>190</v>
      </c>
      <c r="E24">
        <v>19</v>
      </c>
      <c r="F24" s="12">
        <v>342000</v>
      </c>
    </row>
    <row r="25" spans="1:6" x14ac:dyDescent="0.4">
      <c r="A25" s="11">
        <v>46127</v>
      </c>
      <c r="B25" t="s">
        <v>9</v>
      </c>
      <c r="C25" t="s">
        <v>120</v>
      </c>
      <c r="D25" t="s">
        <v>188</v>
      </c>
      <c r="E25">
        <v>19</v>
      </c>
      <c r="F25" s="12">
        <v>3990000</v>
      </c>
    </row>
    <row r="26" spans="1:6" x14ac:dyDescent="0.4">
      <c r="A26" s="11">
        <v>46131</v>
      </c>
      <c r="B26" t="s">
        <v>13</v>
      </c>
      <c r="C26" t="s">
        <v>123</v>
      </c>
      <c r="D26" t="s">
        <v>189</v>
      </c>
      <c r="E26">
        <v>10</v>
      </c>
      <c r="F26" s="12">
        <v>180000</v>
      </c>
    </row>
    <row r="27" spans="1:6" x14ac:dyDescent="0.4">
      <c r="A27" s="11">
        <v>46135</v>
      </c>
      <c r="B27" t="s">
        <v>17</v>
      </c>
      <c r="C27" t="s">
        <v>117</v>
      </c>
      <c r="D27" t="s">
        <v>190</v>
      </c>
      <c r="E27">
        <v>19</v>
      </c>
      <c r="F27" s="12">
        <v>2375000</v>
      </c>
    </row>
    <row r="28" spans="1:6" x14ac:dyDescent="0.4">
      <c r="A28" s="11">
        <v>46145</v>
      </c>
      <c r="B28" t="s">
        <v>9</v>
      </c>
      <c r="C28" t="s">
        <v>123</v>
      </c>
      <c r="D28" t="s">
        <v>188</v>
      </c>
      <c r="E28">
        <v>13</v>
      </c>
      <c r="F28" s="12">
        <v>234000</v>
      </c>
    </row>
    <row r="29" spans="1:6" x14ac:dyDescent="0.4">
      <c r="A29" s="11">
        <v>46149</v>
      </c>
      <c r="B29" t="s">
        <v>13</v>
      </c>
      <c r="C29" t="s">
        <v>117</v>
      </c>
      <c r="D29" t="s">
        <v>189</v>
      </c>
      <c r="E29">
        <v>21</v>
      </c>
      <c r="F29" s="12">
        <v>2625000</v>
      </c>
    </row>
    <row r="30" spans="1:6" x14ac:dyDescent="0.4">
      <c r="A30" s="11">
        <v>46153</v>
      </c>
      <c r="B30" t="s">
        <v>17</v>
      </c>
      <c r="C30" t="s">
        <v>120</v>
      </c>
      <c r="D30" t="s">
        <v>190</v>
      </c>
      <c r="E30">
        <v>16</v>
      </c>
      <c r="F30" s="12">
        <v>3360000</v>
      </c>
    </row>
    <row r="31" spans="1:6" x14ac:dyDescent="0.4">
      <c r="A31" s="11">
        <v>46157</v>
      </c>
      <c r="B31" t="s">
        <v>9</v>
      </c>
      <c r="C31" t="s">
        <v>117</v>
      </c>
      <c r="D31" t="s">
        <v>188</v>
      </c>
      <c r="E31">
        <v>11</v>
      </c>
      <c r="F31" s="12">
        <v>1375000</v>
      </c>
    </row>
    <row r="32" spans="1:6" x14ac:dyDescent="0.4">
      <c r="A32" s="11">
        <v>46161</v>
      </c>
      <c r="B32" t="s">
        <v>13</v>
      </c>
      <c r="C32" t="s">
        <v>120</v>
      </c>
      <c r="D32" t="s">
        <v>189</v>
      </c>
      <c r="E32">
        <v>25</v>
      </c>
      <c r="F32" s="12">
        <v>5250000</v>
      </c>
    </row>
    <row r="33" spans="1:6" x14ac:dyDescent="0.4">
      <c r="A33" s="11">
        <v>46165</v>
      </c>
      <c r="B33" t="s">
        <v>17</v>
      </c>
      <c r="C33" t="s">
        <v>123</v>
      </c>
      <c r="D33" t="s">
        <v>190</v>
      </c>
      <c r="E33">
        <v>5</v>
      </c>
      <c r="F33" s="12">
        <v>90000</v>
      </c>
    </row>
    <row r="34" spans="1:6" x14ac:dyDescent="0.4">
      <c r="A34" s="11">
        <v>46176</v>
      </c>
      <c r="B34" t="s">
        <v>9</v>
      </c>
      <c r="C34" t="s">
        <v>120</v>
      </c>
      <c r="D34" t="s">
        <v>188</v>
      </c>
      <c r="E34">
        <v>8</v>
      </c>
      <c r="F34" s="12">
        <v>1680000</v>
      </c>
    </row>
    <row r="35" spans="1:6" x14ac:dyDescent="0.4">
      <c r="A35" s="11">
        <v>46180</v>
      </c>
      <c r="B35" t="s">
        <v>13</v>
      </c>
      <c r="C35" t="s">
        <v>123</v>
      </c>
      <c r="D35" t="s">
        <v>189</v>
      </c>
      <c r="E35">
        <v>3</v>
      </c>
      <c r="F35" s="12">
        <v>54000</v>
      </c>
    </row>
    <row r="36" spans="1:6" x14ac:dyDescent="0.4">
      <c r="A36" s="11">
        <v>46184</v>
      </c>
      <c r="B36" t="s">
        <v>17</v>
      </c>
      <c r="C36" t="s">
        <v>117</v>
      </c>
      <c r="D36" t="s">
        <v>190</v>
      </c>
      <c r="E36">
        <v>13</v>
      </c>
      <c r="F36" s="12">
        <v>1625000</v>
      </c>
    </row>
    <row r="37" spans="1:6" x14ac:dyDescent="0.4">
      <c r="A37" s="11">
        <v>46188</v>
      </c>
      <c r="B37" t="s">
        <v>9</v>
      </c>
      <c r="C37" t="s">
        <v>123</v>
      </c>
      <c r="D37" t="s">
        <v>188</v>
      </c>
      <c r="E37">
        <v>4</v>
      </c>
      <c r="F37" s="12">
        <v>72000</v>
      </c>
    </row>
    <row r="38" spans="1:6" x14ac:dyDescent="0.4">
      <c r="A38" s="11">
        <v>46192</v>
      </c>
      <c r="B38" t="s">
        <v>13</v>
      </c>
      <c r="C38" t="s">
        <v>117</v>
      </c>
      <c r="D38" t="s">
        <v>189</v>
      </c>
      <c r="E38">
        <v>23</v>
      </c>
      <c r="F38" s="12">
        <v>2875000</v>
      </c>
    </row>
    <row r="39" spans="1:6" x14ac:dyDescent="0.4">
      <c r="A39" s="11">
        <v>46196</v>
      </c>
      <c r="B39" t="s">
        <v>17</v>
      </c>
      <c r="C39" t="s">
        <v>120</v>
      </c>
      <c r="D39" t="s">
        <v>190</v>
      </c>
      <c r="E39">
        <v>10</v>
      </c>
      <c r="F39" s="12">
        <v>2100000</v>
      </c>
    </row>
  </sheetData>
  <phoneticPr fontId="3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9"/>
  <sheetViews>
    <sheetView workbookViewId="0">
      <selection activeCell="A4" sqref="A4:F19"/>
    </sheetView>
  </sheetViews>
  <sheetFormatPr defaultRowHeight="17.399999999999999" x14ac:dyDescent="0.4"/>
  <cols>
    <col min="1" max="1" width="8" customWidth="1"/>
    <col min="2" max="3" width="9" customWidth="1"/>
    <col min="4" max="4" width="7" customWidth="1"/>
    <col min="5" max="5" width="10" customWidth="1"/>
    <col min="6" max="6" width="12" customWidth="1"/>
  </cols>
  <sheetData>
    <row r="1" spans="1:6" x14ac:dyDescent="0.4">
      <c r="A1" t="s">
        <v>191</v>
      </c>
    </row>
    <row r="3" spans="1:6" x14ac:dyDescent="0.4">
      <c r="A3" s="8" t="s">
        <v>29</v>
      </c>
      <c r="B3" s="8" t="s">
        <v>30</v>
      </c>
      <c r="C3" s="8" t="s">
        <v>31</v>
      </c>
      <c r="D3" s="8" t="s">
        <v>76</v>
      </c>
      <c r="E3" s="8" t="s">
        <v>192</v>
      </c>
      <c r="F3" s="8" t="s">
        <v>77</v>
      </c>
    </row>
    <row r="4" spans="1:6" x14ac:dyDescent="0.4">
      <c r="A4" s="4" t="s">
        <v>205</v>
      </c>
      <c r="B4" s="4" t="s">
        <v>206</v>
      </c>
      <c r="C4" s="4" t="s">
        <v>88</v>
      </c>
      <c r="D4" s="4" t="s">
        <v>207</v>
      </c>
      <c r="E4" s="4" t="s">
        <v>195</v>
      </c>
      <c r="F4" s="5">
        <v>5920000</v>
      </c>
    </row>
    <row r="5" spans="1:6" x14ac:dyDescent="0.4">
      <c r="A5" s="4" t="s">
        <v>224</v>
      </c>
      <c r="B5" s="4" t="s">
        <v>225</v>
      </c>
      <c r="C5" s="4" t="s">
        <v>88</v>
      </c>
      <c r="D5" s="4" t="s">
        <v>82</v>
      </c>
      <c r="E5" s="4" t="s">
        <v>195</v>
      </c>
      <c r="F5" s="5">
        <v>4290000</v>
      </c>
    </row>
    <row r="6" spans="1:6" x14ac:dyDescent="0.4">
      <c r="A6" s="4" t="s">
        <v>212</v>
      </c>
      <c r="B6" s="4" t="s">
        <v>213</v>
      </c>
      <c r="C6" s="4" t="s">
        <v>88</v>
      </c>
      <c r="D6" s="4" t="s">
        <v>81</v>
      </c>
      <c r="E6" s="4" t="s">
        <v>195</v>
      </c>
      <c r="F6" s="5">
        <v>3510000</v>
      </c>
    </row>
    <row r="7" spans="1:6" x14ac:dyDescent="0.4">
      <c r="A7" s="4" t="s">
        <v>218</v>
      </c>
      <c r="B7" s="4" t="s">
        <v>219</v>
      </c>
      <c r="C7" s="4" t="s">
        <v>88</v>
      </c>
      <c r="D7" s="4" t="s">
        <v>80</v>
      </c>
      <c r="E7" s="4" t="s">
        <v>204</v>
      </c>
      <c r="F7" s="5">
        <v>2640000</v>
      </c>
    </row>
    <row r="8" spans="1:6" x14ac:dyDescent="0.4">
      <c r="A8" s="4" t="s">
        <v>196</v>
      </c>
      <c r="B8" s="4" t="s">
        <v>197</v>
      </c>
      <c r="C8" s="4" t="s">
        <v>88</v>
      </c>
      <c r="D8" s="4" t="s">
        <v>80</v>
      </c>
      <c r="E8" s="4" t="s">
        <v>198</v>
      </c>
      <c r="F8" s="5">
        <v>2150000</v>
      </c>
    </row>
    <row r="9" spans="1:6" x14ac:dyDescent="0.4">
      <c r="A9" s="4" t="s">
        <v>210</v>
      </c>
      <c r="B9" s="4" t="s">
        <v>211</v>
      </c>
      <c r="C9" s="4" t="s">
        <v>85</v>
      </c>
      <c r="D9" s="4" t="s">
        <v>207</v>
      </c>
      <c r="E9" s="4" t="s">
        <v>195</v>
      </c>
      <c r="F9" s="5">
        <v>6050000</v>
      </c>
    </row>
    <row r="10" spans="1:6" x14ac:dyDescent="0.4">
      <c r="A10" s="4" t="s">
        <v>216</v>
      </c>
      <c r="B10" s="4" t="s">
        <v>217</v>
      </c>
      <c r="C10" s="4" t="s">
        <v>85</v>
      </c>
      <c r="D10" s="4" t="s">
        <v>82</v>
      </c>
      <c r="E10" s="4" t="s">
        <v>195</v>
      </c>
      <c r="F10" s="5">
        <v>4470000</v>
      </c>
    </row>
    <row r="11" spans="1:6" x14ac:dyDescent="0.4">
      <c r="A11" s="4" t="s">
        <v>193</v>
      </c>
      <c r="B11" s="4" t="s">
        <v>194</v>
      </c>
      <c r="C11" s="4" t="s">
        <v>85</v>
      </c>
      <c r="D11" s="4" t="s">
        <v>81</v>
      </c>
      <c r="E11" s="4" t="s">
        <v>195</v>
      </c>
      <c r="F11" s="5">
        <v>3420000</v>
      </c>
    </row>
    <row r="12" spans="1:6" x14ac:dyDescent="0.4">
      <c r="A12" s="4" t="s">
        <v>228</v>
      </c>
      <c r="B12" s="4" t="s">
        <v>229</v>
      </c>
      <c r="C12" s="4" t="s">
        <v>85</v>
      </c>
      <c r="D12" s="4" t="s">
        <v>81</v>
      </c>
      <c r="E12" s="4" t="s">
        <v>204</v>
      </c>
      <c r="F12" s="5">
        <v>3290000</v>
      </c>
    </row>
    <row r="13" spans="1:6" x14ac:dyDescent="0.4">
      <c r="A13" s="4" t="s">
        <v>202</v>
      </c>
      <c r="B13" s="4" t="s">
        <v>203</v>
      </c>
      <c r="C13" s="4" t="s">
        <v>85</v>
      </c>
      <c r="D13" s="4" t="s">
        <v>80</v>
      </c>
      <c r="E13" s="4" t="s">
        <v>204</v>
      </c>
      <c r="F13" s="5">
        <v>2760000</v>
      </c>
    </row>
    <row r="14" spans="1:6" x14ac:dyDescent="0.4">
      <c r="A14" s="4" t="s">
        <v>222</v>
      </c>
      <c r="B14" s="4" t="s">
        <v>223</v>
      </c>
      <c r="C14" s="4" t="s">
        <v>85</v>
      </c>
      <c r="D14" s="4" t="s">
        <v>80</v>
      </c>
      <c r="E14" s="4" t="s">
        <v>198</v>
      </c>
      <c r="F14" s="5">
        <v>2080000</v>
      </c>
    </row>
    <row r="15" spans="1:6" x14ac:dyDescent="0.4">
      <c r="A15" s="4" t="s">
        <v>220</v>
      </c>
      <c r="B15" s="4" t="s">
        <v>221</v>
      </c>
      <c r="C15" s="4" t="s">
        <v>201</v>
      </c>
      <c r="D15" s="4" t="s">
        <v>207</v>
      </c>
      <c r="E15" s="4" t="s">
        <v>195</v>
      </c>
      <c r="F15" s="5">
        <v>5780000</v>
      </c>
    </row>
    <row r="16" spans="1:6" x14ac:dyDescent="0.4">
      <c r="A16" s="4" t="s">
        <v>199</v>
      </c>
      <c r="B16" s="4" t="s">
        <v>200</v>
      </c>
      <c r="C16" s="4" t="s">
        <v>201</v>
      </c>
      <c r="D16" s="4" t="s">
        <v>82</v>
      </c>
      <c r="E16" s="4" t="s">
        <v>195</v>
      </c>
      <c r="F16" s="5">
        <v>4380000</v>
      </c>
    </row>
    <row r="17" spans="1:6" x14ac:dyDescent="0.4">
      <c r="A17" s="4" t="s">
        <v>208</v>
      </c>
      <c r="B17" s="4" t="s">
        <v>209</v>
      </c>
      <c r="C17" s="4" t="s">
        <v>201</v>
      </c>
      <c r="D17" s="4" t="s">
        <v>81</v>
      </c>
      <c r="E17" s="4" t="s">
        <v>204</v>
      </c>
      <c r="F17" s="5">
        <v>3180000</v>
      </c>
    </row>
    <row r="18" spans="1:6" x14ac:dyDescent="0.4">
      <c r="A18" s="4" t="s">
        <v>214</v>
      </c>
      <c r="B18" s="4" t="s">
        <v>215</v>
      </c>
      <c r="C18" s="4" t="s">
        <v>201</v>
      </c>
      <c r="D18" s="4" t="s">
        <v>80</v>
      </c>
      <c r="E18" s="4" t="s">
        <v>195</v>
      </c>
      <c r="F18" s="5">
        <v>2890000</v>
      </c>
    </row>
    <row r="19" spans="1:6" x14ac:dyDescent="0.4">
      <c r="A19" s="4" t="s">
        <v>226</v>
      </c>
      <c r="B19" s="4" t="s">
        <v>227</v>
      </c>
      <c r="C19" s="4" t="s">
        <v>201</v>
      </c>
      <c r="D19" s="4" t="s">
        <v>80</v>
      </c>
      <c r="E19" s="4" t="s">
        <v>198</v>
      </c>
      <c r="F19" s="5">
        <v>2120000</v>
      </c>
    </row>
  </sheetData>
  <sortState ref="A4:F19">
    <sortCondition ref="C4:C19"/>
    <sortCondition ref="D4:D19" customList="부장,과장,대리,사원"/>
    <sortCondition descending="1" ref="F4:F19"/>
  </sortState>
  <phoneticPr fontId="3" type="noConversion"/>
  <dataValidations count="1">
    <dataValidation type="list" errorStyle="warning" allowBlank="1" showInputMessage="1" showErrorMessage="1" errorTitle="입력 확인" error="목록에서 고용형태를 선택하세요." sqref="E4:E19" xr:uid="{A84D7CE3-797C-4EEB-BF36-7C9E9B19D520}">
      <formula1>"정규직,계약직,인턴"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workbookViewId="0"/>
  </sheetViews>
  <sheetFormatPr defaultRowHeight="17.399999999999999" x14ac:dyDescent="0.4"/>
  <sheetData>
    <row r="1" spans="1:4" x14ac:dyDescent="0.4">
      <c r="A1" t="s">
        <v>230</v>
      </c>
    </row>
    <row r="3" spans="1:4" x14ac:dyDescent="0.4">
      <c r="A3" s="8" t="s">
        <v>231</v>
      </c>
      <c r="B3" s="8" t="s">
        <v>232</v>
      </c>
      <c r="C3" s="8" t="s">
        <v>233</v>
      </c>
      <c r="D3" s="8" t="s">
        <v>234</v>
      </c>
    </row>
    <row r="4" spans="1:4" x14ac:dyDescent="0.4">
      <c r="A4" s="4" t="s">
        <v>235</v>
      </c>
      <c r="B4" s="4">
        <v>820</v>
      </c>
      <c r="C4" s="4">
        <v>545</v>
      </c>
      <c r="D4" s="4">
        <v>118</v>
      </c>
    </row>
    <row r="5" spans="1:4" x14ac:dyDescent="0.4">
      <c r="A5" s="4" t="s">
        <v>236</v>
      </c>
      <c r="B5" s="4">
        <v>765</v>
      </c>
      <c r="C5" s="4">
        <v>512</v>
      </c>
      <c r="D5" s="4">
        <v>96</v>
      </c>
    </row>
    <row r="6" spans="1:4" x14ac:dyDescent="0.4">
      <c r="A6" s="4" t="s">
        <v>237</v>
      </c>
      <c r="B6" s="4">
        <v>910</v>
      </c>
      <c r="C6" s="4">
        <v>598</v>
      </c>
      <c r="D6" s="4">
        <v>142</v>
      </c>
    </row>
    <row r="7" spans="1:4" x14ac:dyDescent="0.4">
      <c r="A7" s="4" t="s">
        <v>238</v>
      </c>
      <c r="B7" s="4">
        <v>880</v>
      </c>
      <c r="C7" s="4">
        <v>590</v>
      </c>
      <c r="D7" s="4">
        <v>127</v>
      </c>
    </row>
    <row r="8" spans="1:4" x14ac:dyDescent="0.4">
      <c r="A8" s="4" t="s">
        <v>239</v>
      </c>
      <c r="B8" s="4">
        <v>965</v>
      </c>
      <c r="C8" s="4">
        <v>621</v>
      </c>
      <c r="D8" s="4">
        <v>168</v>
      </c>
    </row>
    <row r="9" spans="1:4" x14ac:dyDescent="0.4">
      <c r="A9" s="4" t="s">
        <v>240</v>
      </c>
      <c r="B9" s="4">
        <v>1040</v>
      </c>
      <c r="C9" s="4">
        <v>668</v>
      </c>
      <c r="D9" s="4">
        <v>190</v>
      </c>
    </row>
  </sheetData>
  <phoneticPr fontId="3" type="noConversion"/>
  <pageMargins left="0.75" right="0.75" top="1" bottom="1" header="0.5" footer="0.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10"/>
  <sheetViews>
    <sheetView workbookViewId="0"/>
  </sheetViews>
  <sheetFormatPr defaultRowHeight="17.399999999999999" x14ac:dyDescent="0.4"/>
  <sheetData>
    <row r="1" spans="1:8" x14ac:dyDescent="0.4">
      <c r="A1" t="s">
        <v>241</v>
      </c>
    </row>
    <row r="2" spans="1:8" x14ac:dyDescent="0.4">
      <c r="H2" t="s">
        <v>242</v>
      </c>
    </row>
    <row r="3" spans="1:8" x14ac:dyDescent="0.4">
      <c r="A3" s="19" t="s">
        <v>2</v>
      </c>
      <c r="B3" s="19" t="s">
        <v>32</v>
      </c>
      <c r="C3" s="19" t="s">
        <v>33</v>
      </c>
      <c r="D3" s="19" t="s">
        <v>34</v>
      </c>
      <c r="E3" s="19" t="s">
        <v>243</v>
      </c>
      <c r="F3" s="19" t="s">
        <v>244</v>
      </c>
    </row>
    <row r="4" spans="1:8" x14ac:dyDescent="0.4">
      <c r="A4" s="4" t="s">
        <v>146</v>
      </c>
      <c r="B4" s="4">
        <v>452</v>
      </c>
      <c r="C4" s="4">
        <v>498</v>
      </c>
      <c r="D4" s="4">
        <v>471</v>
      </c>
      <c r="E4" s="4">
        <v>530</v>
      </c>
      <c r="F4" s="4">
        <f t="shared" ref="F4:F10" si="0">AVERAGE(B4:E4)</f>
        <v>487.75</v>
      </c>
    </row>
    <row r="5" spans="1:8" x14ac:dyDescent="0.4">
      <c r="A5" s="4" t="s">
        <v>152</v>
      </c>
      <c r="B5" s="4">
        <v>318</v>
      </c>
      <c r="C5" s="4">
        <v>342</v>
      </c>
      <c r="D5" s="4">
        <v>365</v>
      </c>
      <c r="E5" s="4">
        <v>351</v>
      </c>
      <c r="F5" s="4">
        <f t="shared" si="0"/>
        <v>344</v>
      </c>
    </row>
    <row r="6" spans="1:8" x14ac:dyDescent="0.4">
      <c r="A6" s="4" t="s">
        <v>158</v>
      </c>
      <c r="B6" s="4">
        <v>276</v>
      </c>
      <c r="C6" s="4">
        <v>259</v>
      </c>
      <c r="D6" s="4">
        <v>301</v>
      </c>
      <c r="E6" s="4">
        <v>322</v>
      </c>
      <c r="F6" s="4">
        <f t="shared" si="0"/>
        <v>289.5</v>
      </c>
    </row>
    <row r="7" spans="1:8" x14ac:dyDescent="0.4">
      <c r="A7" s="4" t="s">
        <v>245</v>
      </c>
      <c r="B7" s="4">
        <v>344</v>
      </c>
      <c r="C7" s="4">
        <v>371</v>
      </c>
      <c r="D7" s="4">
        <v>360</v>
      </c>
      <c r="E7" s="4">
        <v>389</v>
      </c>
      <c r="F7" s="4">
        <f t="shared" si="0"/>
        <v>366</v>
      </c>
    </row>
    <row r="8" spans="1:8" x14ac:dyDescent="0.4">
      <c r="A8" s="4" t="s">
        <v>166</v>
      </c>
      <c r="B8" s="4">
        <v>215</v>
      </c>
      <c r="C8" s="4">
        <v>238</v>
      </c>
      <c r="D8" s="4">
        <v>226</v>
      </c>
      <c r="E8" s="4">
        <v>251</v>
      </c>
      <c r="F8" s="4">
        <f t="shared" si="0"/>
        <v>232.5</v>
      </c>
    </row>
    <row r="9" spans="1:8" x14ac:dyDescent="0.4">
      <c r="A9" s="4" t="s">
        <v>246</v>
      </c>
      <c r="B9" s="4">
        <v>262</v>
      </c>
      <c r="C9" s="4">
        <v>281</v>
      </c>
      <c r="D9" s="4">
        <v>297</v>
      </c>
      <c r="E9" s="4">
        <v>305</v>
      </c>
      <c r="F9" s="4">
        <f t="shared" si="0"/>
        <v>286.25</v>
      </c>
    </row>
    <row r="10" spans="1:8" x14ac:dyDescent="0.4">
      <c r="A10" s="4" t="s">
        <v>247</v>
      </c>
      <c r="B10" s="4">
        <v>198</v>
      </c>
      <c r="C10" s="4">
        <v>205</v>
      </c>
      <c r="D10" s="4">
        <v>233</v>
      </c>
      <c r="E10" s="4">
        <v>240</v>
      </c>
      <c r="F10" s="4">
        <f t="shared" si="0"/>
        <v>219</v>
      </c>
    </row>
  </sheetData>
  <phoneticPr fontId="3" type="noConversion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평균계산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서식적용">
                <anchor moveWithCells="1" siz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20"/>
  <sheetViews>
    <sheetView workbookViewId="0"/>
  </sheetViews>
  <sheetFormatPr defaultRowHeight="17.399999999999999" x14ac:dyDescent="0.4"/>
  <cols>
    <col min="1" max="1" width="9" customWidth="1"/>
    <col min="2" max="2" width="14" customWidth="1"/>
    <col min="3" max="3" width="10" customWidth="1"/>
    <col min="4" max="4" width="8" customWidth="1"/>
    <col min="5" max="5" width="10" customWidth="1"/>
    <col min="7" max="7" width="11" customWidth="1"/>
    <col min="8" max="8" width="13" customWidth="1"/>
  </cols>
  <sheetData>
    <row r="1" spans="1:5" x14ac:dyDescent="0.4">
      <c r="A1" t="s">
        <v>248</v>
      </c>
    </row>
    <row r="3" spans="1:5" x14ac:dyDescent="0.4">
      <c r="A3" s="8" t="s">
        <v>30</v>
      </c>
      <c r="B3" s="8" t="s">
        <v>249</v>
      </c>
      <c r="C3" s="8" t="s">
        <v>250</v>
      </c>
      <c r="D3" s="8" t="s">
        <v>114</v>
      </c>
      <c r="E3" s="8" t="s">
        <v>251</v>
      </c>
    </row>
    <row r="4" spans="1:5" x14ac:dyDescent="0.4">
      <c r="A4" s="4" t="s">
        <v>252</v>
      </c>
      <c r="B4" s="4" t="s">
        <v>253</v>
      </c>
      <c r="C4" s="5">
        <v>180000</v>
      </c>
      <c r="D4" s="9">
        <v>0.05</v>
      </c>
      <c r="E4" s="5">
        <v>171000</v>
      </c>
    </row>
    <row r="5" spans="1:5" x14ac:dyDescent="0.4">
      <c r="A5" s="4" t="s">
        <v>254</v>
      </c>
      <c r="B5" s="4" t="s">
        <v>255</v>
      </c>
      <c r="C5" s="5">
        <v>260000</v>
      </c>
      <c r="D5" s="9">
        <v>0.1</v>
      </c>
      <c r="E5" s="5">
        <v>234000</v>
      </c>
    </row>
    <row r="6" spans="1:5" x14ac:dyDescent="0.4">
      <c r="A6" s="4" t="s">
        <v>256</v>
      </c>
      <c r="B6" s="4" t="s">
        <v>253</v>
      </c>
      <c r="C6" s="5">
        <v>180000</v>
      </c>
      <c r="D6" s="9">
        <v>0.05</v>
      </c>
      <c r="E6" s="5">
        <v>171000</v>
      </c>
    </row>
    <row r="7" spans="1:5" x14ac:dyDescent="0.4">
      <c r="A7" s="4" t="s">
        <v>257</v>
      </c>
      <c r="B7" s="4" t="s">
        <v>258</v>
      </c>
      <c r="C7" s="5">
        <v>320000</v>
      </c>
      <c r="D7" s="9">
        <v>0.1</v>
      </c>
      <c r="E7" s="5">
        <v>288000</v>
      </c>
    </row>
    <row r="8" spans="1:5" x14ac:dyDescent="0.4">
      <c r="A8" s="4" t="s">
        <v>259</v>
      </c>
      <c r="B8" s="4" t="s">
        <v>255</v>
      </c>
      <c r="C8" s="5">
        <v>260000</v>
      </c>
      <c r="D8" s="9">
        <v>0.1</v>
      </c>
      <c r="E8" s="5">
        <v>234000</v>
      </c>
    </row>
    <row r="9" spans="1:5" x14ac:dyDescent="0.4">
      <c r="A9" s="4" t="s">
        <v>260</v>
      </c>
      <c r="B9" s="4" t="s">
        <v>261</v>
      </c>
      <c r="C9" s="5">
        <v>150000</v>
      </c>
      <c r="D9" s="9">
        <v>0.05</v>
      </c>
      <c r="E9" s="5">
        <v>142500</v>
      </c>
    </row>
    <row r="10" spans="1:5" x14ac:dyDescent="0.4">
      <c r="A10" t="s">
        <v>266</v>
      </c>
      <c r="B10" t="s">
        <v>267</v>
      </c>
      <c r="C10" s="12">
        <v>240000</v>
      </c>
      <c r="D10" s="13">
        <v>0.1</v>
      </c>
      <c r="E10" s="12">
        <v>216000</v>
      </c>
    </row>
    <row r="11" spans="1:5" x14ac:dyDescent="0.4">
      <c r="C11" s="12"/>
      <c r="D11" s="13"/>
      <c r="E11" s="12"/>
    </row>
    <row r="12" spans="1:5" x14ac:dyDescent="0.4">
      <c r="C12" s="12"/>
      <c r="D12" s="13"/>
      <c r="E12" s="12"/>
    </row>
    <row r="13" spans="1:5" x14ac:dyDescent="0.4">
      <c r="C13" s="12"/>
      <c r="D13" s="13"/>
      <c r="E13" s="12"/>
    </row>
    <row r="14" spans="1:5" x14ac:dyDescent="0.4">
      <c r="C14" s="12"/>
      <c r="D14" s="13"/>
      <c r="E14" s="12"/>
    </row>
    <row r="15" spans="1:5" x14ac:dyDescent="0.4">
      <c r="C15" s="12"/>
      <c r="D15" s="13"/>
      <c r="E15" s="12"/>
    </row>
    <row r="16" spans="1:5" x14ac:dyDescent="0.4">
      <c r="C16" s="12"/>
      <c r="D16" s="13"/>
      <c r="E16" s="12"/>
    </row>
    <row r="17" spans="3:5" x14ac:dyDescent="0.4">
      <c r="C17" s="12"/>
      <c r="D17" s="13"/>
      <c r="E17" s="12"/>
    </row>
    <row r="18" spans="3:5" x14ac:dyDescent="0.4">
      <c r="C18" s="12"/>
      <c r="D18" s="13"/>
      <c r="E18" s="12"/>
    </row>
    <row r="19" spans="3:5" x14ac:dyDescent="0.4">
      <c r="C19" s="12"/>
      <c r="D19" s="13"/>
      <c r="E19" s="12"/>
    </row>
    <row r="20" spans="3:5" x14ac:dyDescent="0.4">
      <c r="C20" s="12"/>
      <c r="D20" s="13"/>
      <c r="E20" s="12"/>
    </row>
  </sheetData>
  <phoneticPr fontId="3" type="noConversion"/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2049" r:id="rId3" name="cmd신청">
          <controlPr defaultSize="0" autoLine="0" r:id="rId4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8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2049" r:id="rId3" name="cmd신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user</cp:lastModifiedBy>
  <dcterms:created xsi:type="dcterms:W3CDTF">2026-10-04T13:37:11Z</dcterms:created>
  <dcterms:modified xsi:type="dcterms:W3CDTF">2026-10-04T14:38:09Z</dcterms:modified>
</cp:coreProperties>
</file>