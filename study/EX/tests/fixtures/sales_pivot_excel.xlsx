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AX-VS-CODE-study-EX\a3ebdc17-2d21-4958-a78e-fe5b775786e7\scratchpad\"/>
    </mc:Choice>
  </mc:AlternateContent>
  <xr:revisionPtr revIDLastSave="0" documentId="8_{BA4414C9-09AA-4B52-99AD-DCBD1A436A13}" xr6:coauthVersionLast="36" xr6:coauthVersionMax="36" xr10:uidLastSave="{00000000-0000-0000-0000-000000000000}"/>
  <bookViews>
    <workbookView xWindow="0" yWindow="0" windowWidth="23040" windowHeight="11184" activeTab="2" xr2:uid="{00000000-000D-0000-FFFF-FFFF00000000}"/>
  </bookViews>
  <sheets>
    <sheet name="과제" sheetId="1" r:id="rId1"/>
    <sheet name="데이터" sheetId="2" r:id="rId2"/>
    <sheet name="PV" sheetId="4" r:id="rId3"/>
    <sheet name="대시보드" sheetId="3" r:id="rId4"/>
  </sheets>
  <definedNames>
    <definedName name="_xlnm._FilterDatabase" localSheetId="1" hidden="1">데이터!$A$1:$I$121</definedName>
  </definedNames>
  <calcPr calcId="191029"/>
  <pivotCaches>
    <pivotCache cacheId="3" r:id="rId5"/>
  </pivotCaches>
</workbook>
</file>

<file path=xl/calcChain.xml><?xml version="1.0" encoding="utf-8"?>
<calcChain xmlns="http://schemas.openxmlformats.org/spreadsheetml/2006/main">
  <c r="B21" i="3" l="1"/>
  <c r="B20" i="3"/>
  <c r="B19" i="3"/>
  <c r="B18" i="3"/>
  <c r="B17" i="3"/>
  <c r="B23" i="3" s="1"/>
  <c r="F14" i="3"/>
  <c r="F13" i="3"/>
  <c r="B13" i="3"/>
  <c r="C13" i="3" s="1"/>
  <c r="F12" i="3"/>
  <c r="B12" i="3"/>
  <c r="C12" i="3" s="1"/>
  <c r="F11" i="3"/>
  <c r="B11" i="3"/>
  <c r="C11" i="3" s="1"/>
  <c r="F10" i="3"/>
  <c r="B10" i="3"/>
  <c r="C10" i="3" s="1"/>
  <c r="F9" i="3"/>
  <c r="B9" i="3"/>
  <c r="C9" i="3" s="1"/>
  <c r="B6" i="3"/>
  <c r="B5" i="3"/>
  <c r="B4" i="3"/>
  <c r="B3" i="3"/>
</calcChain>
</file>

<file path=xl/sharedStrings.xml><?xml version="1.0" encoding="utf-8"?>
<sst xmlns="http://schemas.openxmlformats.org/spreadsheetml/2006/main" count="675" uniqueCount="187">
  <si>
    <t>상반기 매출 대시보드</t>
  </si>
  <si>
    <t>주문 120건으로 핵심 지표·지역별·월별·제품별 매출을 요약하고 차트를 붙입니다.</t>
  </si>
  <si>
    <t>노란 칸에 수식을 넣고, 차트·조건부 서식을 추가한 뒤 저장해서 사이트에 올리면 채점됩니다.</t>
  </si>
  <si>
    <t>번호</t>
  </si>
  <si>
    <t>할 일</t>
  </si>
  <si>
    <t>위치 · 힌트</t>
  </si>
  <si>
    <t>총매출</t>
  </si>
  <si>
    <t>대시보드!B3  금액 열 전체를 SUM 으로 더합니다.</t>
  </si>
  <si>
    <t>주문 건수</t>
  </si>
  <si>
    <t>대시보드!B4  주문번호가 몇 개인지 COUNTA 로 셉니다(COUNT 는 숫자만 셉니다).</t>
  </si>
  <si>
    <t>평균 주문 금액</t>
  </si>
  <si>
    <t>대시보드!B5  AVERAGE 또는 =B3/B4.</t>
  </si>
  <si>
    <t>최대 주문 금액</t>
  </si>
  <si>
    <t>대시보드!B6  MAX 함수.</t>
  </si>
  <si>
    <t>지역별 매출</t>
  </si>
  <si>
    <t>대시보드!B9:B13  B9 에 =SUMIFS(금액, 지역, A9) 를 만들고 범위는 $로 고정한 뒤 아래로 채웁니다.</t>
  </si>
  <si>
    <t>지역별 비중</t>
  </si>
  <si>
    <t>대시보드!C9:C13  지역 매출 ÷ 총매출. 총매출 셀은 $B$3 으로 고정합니다.</t>
  </si>
  <si>
    <t>월별 매출</t>
  </si>
  <si>
    <t>대시보드!F9:F14  날짜가 그 달 1일 이상, 다음 달 1일 미만인 금액을 SUMIFS 로 더합니다. SUMPRODUCT((MONTH(날짜)=E9)*금액) 도 됩니다.</t>
  </si>
  <si>
    <t>제품별 판매 수량</t>
  </si>
  <si>
    <t>대시보드!B17:B21  수량 열을 제품 기준으로 SUMIFS.</t>
  </si>
  <si>
    <t>판매 수량 1위 제품</t>
  </si>
  <si>
    <t>대시보드!B23  MAX 로 가장 큰 수량을 찾고 MATCH 로 위치, INDEX 로 제품 이름을 꺼냅니다.</t>
  </si>
  <si>
    <t>차트 1개 이상</t>
  </si>
  <si>
    <t>지역별 매출(A8:B13)을 선택하고 [삽입] &gt; [세로 막대형 차트].</t>
  </si>
  <si>
    <t>조건부 서식 1개 이상</t>
  </si>
  <si>
    <t>B9:B13 을 선택하고 [홈] &gt; [조건부 서식] &gt; [데이터 막대].</t>
  </si>
  <si>
    <t>(선택) 피벗 테이블</t>
  </si>
  <si>
    <t>데이터 시트에서 [삽입] &gt; [피벗 테이블] — 행: 지역, 열: 분류, 값: 금액 합계.</t>
  </si>
  <si>
    <t>주문번호</t>
  </si>
  <si>
    <t>날짜</t>
  </si>
  <si>
    <t>지역</t>
  </si>
  <si>
    <t>담당자</t>
  </si>
  <si>
    <t>제품</t>
  </si>
  <si>
    <t>분류</t>
  </si>
  <si>
    <t>수량</t>
  </si>
  <si>
    <t>단가</t>
  </si>
  <si>
    <t>금액</t>
  </si>
  <si>
    <t>S20260001</t>
  </si>
  <si>
    <t>부산</t>
  </si>
  <si>
    <t>이서연</t>
  </si>
  <si>
    <t>키보드</t>
  </si>
  <si>
    <t>주변기기</t>
  </si>
  <si>
    <t>S20260002</t>
  </si>
  <si>
    <t>서울</t>
  </si>
  <si>
    <t>박지호</t>
  </si>
  <si>
    <t>S20260003</t>
  </si>
  <si>
    <t>강도윤</t>
  </si>
  <si>
    <t>S20260004</t>
  </si>
  <si>
    <t>S20260005</t>
  </si>
  <si>
    <t>대구</t>
  </si>
  <si>
    <t>최유나</t>
  </si>
  <si>
    <t>S20260006</t>
  </si>
  <si>
    <t>김민준</t>
  </si>
  <si>
    <t>S20260007</t>
  </si>
  <si>
    <t>대전</t>
  </si>
  <si>
    <t>윤시우</t>
  </si>
  <si>
    <t>마우스</t>
  </si>
  <si>
    <t>S20260008</t>
  </si>
  <si>
    <t>모니터</t>
  </si>
  <si>
    <t>전자</t>
  </si>
  <si>
    <t>S20260009</t>
  </si>
  <si>
    <t>S20260010</t>
  </si>
  <si>
    <t>S20260011</t>
  </si>
  <si>
    <t>노트북</t>
  </si>
  <si>
    <t>S20260012</t>
  </si>
  <si>
    <t>S20260013</t>
  </si>
  <si>
    <t>S20260014</t>
  </si>
  <si>
    <t>S20260015</t>
  </si>
  <si>
    <t>광주</t>
  </si>
  <si>
    <t>정하은</t>
  </si>
  <si>
    <t>S20260016</t>
  </si>
  <si>
    <t>S20260017</t>
  </si>
  <si>
    <t>S20260018</t>
  </si>
  <si>
    <t>S20260019</t>
  </si>
  <si>
    <t>S20260020</t>
  </si>
  <si>
    <t>S20260021</t>
  </si>
  <si>
    <t>S20260022</t>
  </si>
  <si>
    <t>S20260023</t>
  </si>
  <si>
    <t>S20260024</t>
  </si>
  <si>
    <t>S20260025</t>
  </si>
  <si>
    <t>S20260026</t>
  </si>
  <si>
    <t>S20260027</t>
  </si>
  <si>
    <t>S20260028</t>
  </si>
  <si>
    <t>S20260029</t>
  </si>
  <si>
    <t>S20260030</t>
  </si>
  <si>
    <t>S20260031</t>
  </si>
  <si>
    <t>S20260032</t>
  </si>
  <si>
    <t>S20260033</t>
  </si>
  <si>
    <t>S20260034</t>
  </si>
  <si>
    <t>S20260035</t>
  </si>
  <si>
    <t>S20260036</t>
  </si>
  <si>
    <t>S20260037</t>
  </si>
  <si>
    <t>프린터</t>
  </si>
  <si>
    <t>사무기기</t>
  </si>
  <si>
    <t>S20260038</t>
  </si>
  <si>
    <t>S20260039</t>
  </si>
  <si>
    <t>S20260040</t>
  </si>
  <si>
    <t>S20260041</t>
  </si>
  <si>
    <t>S20260042</t>
  </si>
  <si>
    <t>S20260043</t>
  </si>
  <si>
    <t>S20260044</t>
  </si>
  <si>
    <t>S20260045</t>
  </si>
  <si>
    <t>S20260046</t>
  </si>
  <si>
    <t>S20260047</t>
  </si>
  <si>
    <t>S20260048</t>
  </si>
  <si>
    <t>S20260049</t>
  </si>
  <si>
    <t>S20260050</t>
  </si>
  <si>
    <t>S20260051</t>
  </si>
  <si>
    <t>S20260052</t>
  </si>
  <si>
    <t>S20260053</t>
  </si>
  <si>
    <t>S20260054</t>
  </si>
  <si>
    <t>S20260055</t>
  </si>
  <si>
    <t>S20260056</t>
  </si>
  <si>
    <t>S20260057</t>
  </si>
  <si>
    <t>S20260058</t>
  </si>
  <si>
    <t>S20260059</t>
  </si>
  <si>
    <t>S20260060</t>
  </si>
  <si>
    <t>S20260061</t>
  </si>
  <si>
    <t>S20260062</t>
  </si>
  <si>
    <t>S20260063</t>
  </si>
  <si>
    <t>S20260064</t>
  </si>
  <si>
    <t>S20260065</t>
  </si>
  <si>
    <t>S20260066</t>
  </si>
  <si>
    <t>S20260067</t>
  </si>
  <si>
    <t>S20260068</t>
  </si>
  <si>
    <t>S20260069</t>
  </si>
  <si>
    <t>S20260070</t>
  </si>
  <si>
    <t>S20260071</t>
  </si>
  <si>
    <t>S20260072</t>
  </si>
  <si>
    <t>S20260073</t>
  </si>
  <si>
    <t>S20260074</t>
  </si>
  <si>
    <t>S20260075</t>
  </si>
  <si>
    <t>S20260076</t>
  </si>
  <si>
    <t>S20260077</t>
  </si>
  <si>
    <t>S20260078</t>
  </si>
  <si>
    <t>S20260079</t>
  </si>
  <si>
    <t>S20260080</t>
  </si>
  <si>
    <t>S20260081</t>
  </si>
  <si>
    <t>S20260082</t>
  </si>
  <si>
    <t>S20260083</t>
  </si>
  <si>
    <t>S20260084</t>
  </si>
  <si>
    <t>S20260085</t>
  </si>
  <si>
    <t>S20260086</t>
  </si>
  <si>
    <t>S20260087</t>
  </si>
  <si>
    <t>S20260088</t>
  </si>
  <si>
    <t>S20260089</t>
  </si>
  <si>
    <t>S20260090</t>
  </si>
  <si>
    <t>S20260091</t>
  </si>
  <si>
    <t>S20260092</t>
  </si>
  <si>
    <t>S20260093</t>
  </si>
  <si>
    <t>S20260094</t>
  </si>
  <si>
    <t>S20260095</t>
  </si>
  <si>
    <t>S20260096</t>
  </si>
  <si>
    <t>S20260097</t>
  </si>
  <si>
    <t>S20260098</t>
  </si>
  <si>
    <t>S20260099</t>
  </si>
  <si>
    <t>S20260100</t>
  </si>
  <si>
    <t>S20260101</t>
  </si>
  <si>
    <t>S20260102</t>
  </si>
  <si>
    <t>S20260103</t>
  </si>
  <si>
    <t>S20260104</t>
  </si>
  <si>
    <t>S20260105</t>
  </si>
  <si>
    <t>S20260106</t>
  </si>
  <si>
    <t>S20260107</t>
  </si>
  <si>
    <t>S20260108</t>
  </si>
  <si>
    <t>S20260109</t>
  </si>
  <si>
    <t>S20260110</t>
  </si>
  <si>
    <t>S20260111</t>
  </si>
  <si>
    <t>S20260112</t>
  </si>
  <si>
    <t>S20260113</t>
  </si>
  <si>
    <t>S20260114</t>
  </si>
  <si>
    <t>S20260115</t>
  </si>
  <si>
    <t>S20260116</t>
  </si>
  <si>
    <t>S20260117</t>
  </si>
  <si>
    <t>S20260118</t>
  </si>
  <si>
    <t>S20260119</t>
  </si>
  <si>
    <t>S20260120</t>
  </si>
  <si>
    <t>매출</t>
  </si>
  <si>
    <t>비중</t>
  </si>
  <si>
    <t>월</t>
  </si>
  <si>
    <t>판매 수량</t>
  </si>
  <si>
    <t>행 레이블</t>
  </si>
  <si>
    <t>총합계</t>
  </si>
  <si>
    <t>열 레이블</t>
  </si>
  <si>
    <t>SumAmount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</si>
</sst>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%"/>
    <numFmt numFmtId="178" formatCode="0&quot;월&quot;"/>
  </numFmts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6"/>
      <color rgb="FF1F6E43"/>
      <name val="맑은 고딕"/>
      <family val="3"/>
      <charset val="129"/>
    </font>
    <font>
      <b/>
      <sz val="15"/>
      <color rgb="FF1F6E43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E43"/>
      </patternFill>
    </fill>
    <fill>
      <patternFill patternType="solid">
        <fgColor rgb="FFE8F1EC"/>
      </patternFill>
    </fill>
    <fill>
      <patternFill patternType="solid">
        <fgColor rgb="FFFFF4C2"/>
      </patternFill>
    </fill>
  </fills>
  <borders count="2">
    <border>
      <left/>
      <right/>
      <top/>
      <bottom/>
      <diagonal/>
    </border>
    <border>
      <left style="thin">
        <color rgb="FFB7C4BC"/>
      </left>
      <right style="thin">
        <color rgb="FFB7C4BC"/>
      </right>
      <top style="thin">
        <color rgb="FFB7C4BC"/>
      </top>
      <bottom style="thin">
        <color rgb="FFB7C4B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76" fontId="0" fillId="0" borderId="0" xfId="0" applyNumberFormat="1"/>
    <xf numFmtId="3" fontId="0" fillId="0" borderId="0" xfId="0" applyNumberFormat="1"/>
    <xf numFmtId="0" fontId="3" fillId="0" borderId="0" xfId="0" applyFont="1"/>
    <xf numFmtId="0" fontId="2" fillId="3" borderId="0" xfId="0" applyFont="1" applyFill="1"/>
    <xf numFmtId="3" fontId="0" fillId="4" borderId="1" xfId="0" applyNumberFormat="1" applyFill="1" applyBorder="1"/>
    <xf numFmtId="177" fontId="0" fillId="4" borderId="1" xfId="0" applyNumberFormat="1" applyFill="1" applyBorder="1"/>
    <xf numFmtId="178" fontId="0" fillId="0" borderId="0" xfId="0" applyNumberFormat="1"/>
    <xf numFmtId="0" fontId="0" fillId="4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지역별 매출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대시보드!$B$8</c:f>
              <c:strCache>
                <c:ptCount val="1"/>
                <c:pt idx="0">
                  <c:v>매출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대시보드!$A$9:$A$13</c:f>
              <c:strCache>
                <c:ptCount val="5"/>
                <c:pt idx="0">
                  <c:v>서울</c:v>
                </c:pt>
                <c:pt idx="1">
                  <c:v>부산</c:v>
                </c:pt>
                <c:pt idx="2">
                  <c:v>대구</c:v>
                </c:pt>
                <c:pt idx="3">
                  <c:v>광주</c:v>
                </c:pt>
                <c:pt idx="4">
                  <c:v>대전</c:v>
                </c:pt>
              </c:strCache>
            </c:strRef>
          </c:cat>
          <c:val>
            <c:numRef>
              <c:f>대시보드!$B$9:$B$13</c:f>
              <c:numCache>
                <c:formatCode>#,##0</c:formatCode>
                <c:ptCount val="5"/>
                <c:pt idx="0">
                  <c:v>41289000</c:v>
                </c:pt>
                <c:pt idx="1">
                  <c:v>24158000</c:v>
                </c:pt>
                <c:pt idx="2">
                  <c:v>24501000</c:v>
                </c:pt>
                <c:pt idx="3">
                  <c:v>15908000</c:v>
                </c:pt>
                <c:pt idx="4">
                  <c:v>36873000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9-42DB-A8CE-C000296DE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월별 매출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대시보드!$F$8</c:f>
              <c:strCache>
                <c:ptCount val="1"/>
                <c:pt idx="0">
                  <c:v>매출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대시보드!$E$9:$E$14</c:f>
              <c:numCache>
                <c:formatCode>0"월"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대시보드!$F$9:$F$14</c:f>
              <c:numCache>
                <c:formatCode>#,##0</c:formatCode>
                <c:ptCount val="6"/>
                <c:pt idx="0">
                  <c:v>27209000</c:v>
                </c:pt>
                <c:pt idx="1">
                  <c:v>28110000</c:v>
                </c:pt>
                <c:pt idx="2">
                  <c:v>23380000</c:v>
                </c:pt>
                <c:pt idx="3">
                  <c:v>26904000</c:v>
                </c:pt>
                <c:pt idx="4">
                  <c:v>21457000</c:v>
                </c:pt>
                <c:pt idx="5">
                  <c:v>15669000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1C-4251-BF33-5068332C8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&quot;월&quot;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8.739462152778" createdVersion="3" refreshedVersion="6" minRefreshableVersion="3" recordCount="120" xr:uid="{3A6F2B35-3BAD-4698-B9AB-DE347D78E8AC}">
  <cacheSource type="worksheet">
    <worksheetSource ref="A1:I121" sheet="데이터"/>
  </cacheSource>
  <cacheFields count="9">
    <cacheField name="주문번호" numFmtId="0">
      <sharedItems/>
    </cacheField>
    <cacheField name="날짜" numFmtId="176">
      <sharedItems containsSemiMixedTypes="0" containsNonDate="0" containsDate="1" containsString="0" minDate="2026-01-02T00:00:00" maxDate="2026-07-01T00:00:00"/>
    </cacheField>
    <cacheField name="지역" numFmtId="0">
      <sharedItems count="5">
        <s v="부산"/>
        <s v="서울"/>
        <s v="대구"/>
        <s v="대전"/>
        <s v="광주"/>
      </sharedItems>
    </cacheField>
    <cacheField name="담당자" numFmtId="0">
      <sharedItems/>
    </cacheField>
    <cacheField name="제품" numFmtId="0">
      <sharedItems/>
    </cacheField>
    <cacheField name="분류" numFmtId="0">
      <sharedItems count="3">
        <s v="주변기기"/>
        <s v="전자"/>
        <s v="사무기기"/>
      </sharedItems>
    </cacheField>
    <cacheField name="수량" numFmtId="0">
      <sharedItems containsSemiMixedTypes="0" containsString="0" containsNumber="1" containsInteger="1" minValue="1" maxValue="40"/>
    </cacheField>
    <cacheField name="단가" numFmtId="3">
      <sharedItems containsSemiMixedTypes="0" containsString="0" containsNumber="1" containsInteger="1" minValue="27000" maxValue="1250000"/>
    </cacheField>
    <cacheField name="금액" numFmtId="3">
      <sharedItems containsSemiMixedTypes="0" containsString="0" containsNumber="1" containsInteger="1" minValue="96000" maxValue="5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S20260001"/>
    <d v="2026-01-02T00:00:00"/>
    <x v="0"/>
    <s v="이서연"/>
    <s v="키보드"/>
    <x v="0"/>
    <n v="13"/>
    <n v="48000"/>
    <n v="624000"/>
  </r>
  <r>
    <s v="S20260002"/>
    <d v="2026-01-03T00:00:00"/>
    <x v="1"/>
    <s v="박지호"/>
    <s v="키보드"/>
    <x v="0"/>
    <n v="20"/>
    <n v="48000"/>
    <n v="960000"/>
  </r>
  <r>
    <s v="S20260003"/>
    <d v="2026-01-05T00:00:00"/>
    <x v="0"/>
    <s v="강도윤"/>
    <s v="키보드"/>
    <x v="0"/>
    <n v="10"/>
    <n v="48000"/>
    <n v="480000"/>
  </r>
  <r>
    <s v="S20260004"/>
    <d v="2026-01-05T00:00:00"/>
    <x v="0"/>
    <s v="이서연"/>
    <s v="키보드"/>
    <x v="0"/>
    <n v="5"/>
    <n v="48000"/>
    <n v="240000"/>
  </r>
  <r>
    <s v="S20260005"/>
    <d v="2026-01-06T00:00:00"/>
    <x v="2"/>
    <s v="최유나"/>
    <s v="키보드"/>
    <x v="0"/>
    <n v="8"/>
    <n v="48000"/>
    <n v="384000"/>
  </r>
  <r>
    <s v="S20260006"/>
    <d v="2026-01-07T00:00:00"/>
    <x v="1"/>
    <s v="김민준"/>
    <s v="키보드"/>
    <x v="0"/>
    <n v="4"/>
    <n v="48000"/>
    <n v="192000"/>
  </r>
  <r>
    <s v="S20260007"/>
    <d v="2026-01-09T00:00:00"/>
    <x v="3"/>
    <s v="윤시우"/>
    <s v="마우스"/>
    <x v="0"/>
    <n v="35"/>
    <n v="27000"/>
    <n v="945000"/>
  </r>
  <r>
    <s v="S20260008"/>
    <d v="2026-01-09T00:00:00"/>
    <x v="1"/>
    <s v="박지호"/>
    <s v="모니터"/>
    <x v="1"/>
    <n v="4"/>
    <n v="330000"/>
    <n v="1320000"/>
  </r>
  <r>
    <s v="S20260009"/>
    <d v="2026-01-11T00:00:00"/>
    <x v="1"/>
    <s v="김민준"/>
    <s v="키보드"/>
    <x v="0"/>
    <n v="9"/>
    <n v="48000"/>
    <n v="432000"/>
  </r>
  <r>
    <s v="S20260010"/>
    <d v="2026-01-12T00:00:00"/>
    <x v="3"/>
    <s v="윤시우"/>
    <s v="모니터"/>
    <x v="1"/>
    <n v="3"/>
    <n v="330000"/>
    <n v="990000"/>
  </r>
  <r>
    <s v="S20260011"/>
    <d v="2026-01-14T00:00:00"/>
    <x v="3"/>
    <s v="윤시우"/>
    <s v="노트북"/>
    <x v="1"/>
    <n v="2"/>
    <n v="1250000"/>
    <n v="2500000"/>
  </r>
  <r>
    <s v="S20260012"/>
    <d v="2026-01-20T00:00:00"/>
    <x v="3"/>
    <s v="윤시우"/>
    <s v="키보드"/>
    <x v="0"/>
    <n v="6"/>
    <n v="48000"/>
    <n v="288000"/>
  </r>
  <r>
    <s v="S20260013"/>
    <d v="2026-01-20T00:00:00"/>
    <x v="2"/>
    <s v="최유나"/>
    <s v="키보드"/>
    <x v="0"/>
    <n v="8"/>
    <n v="48000"/>
    <n v="384000"/>
  </r>
  <r>
    <s v="S20260014"/>
    <d v="2026-01-20T00:00:00"/>
    <x v="1"/>
    <s v="박지호"/>
    <s v="노트북"/>
    <x v="1"/>
    <n v="1"/>
    <n v="1250000"/>
    <n v="1250000"/>
  </r>
  <r>
    <s v="S20260015"/>
    <d v="2026-01-21T00:00:00"/>
    <x v="4"/>
    <s v="정하은"/>
    <s v="모니터"/>
    <x v="1"/>
    <n v="4"/>
    <n v="330000"/>
    <n v="1320000"/>
  </r>
  <r>
    <s v="S20260016"/>
    <d v="2026-01-21T00:00:00"/>
    <x v="2"/>
    <s v="최유나"/>
    <s v="모니터"/>
    <x v="1"/>
    <n v="5"/>
    <n v="330000"/>
    <n v="1650000"/>
  </r>
  <r>
    <s v="S20260017"/>
    <d v="2026-01-23T00:00:00"/>
    <x v="2"/>
    <s v="최유나"/>
    <s v="모니터"/>
    <x v="1"/>
    <n v="5"/>
    <n v="330000"/>
    <n v="1650000"/>
  </r>
  <r>
    <s v="S20260018"/>
    <d v="2026-01-23T00:00:00"/>
    <x v="2"/>
    <s v="최유나"/>
    <s v="모니터"/>
    <x v="1"/>
    <n v="5"/>
    <n v="330000"/>
    <n v="1650000"/>
  </r>
  <r>
    <s v="S20260019"/>
    <d v="2026-01-23T00:00:00"/>
    <x v="1"/>
    <s v="김민준"/>
    <s v="노트북"/>
    <x v="1"/>
    <n v="3"/>
    <n v="1250000"/>
    <n v="3750000"/>
  </r>
  <r>
    <s v="S20260020"/>
    <d v="2026-01-23T00:00:00"/>
    <x v="3"/>
    <s v="윤시우"/>
    <s v="노트북"/>
    <x v="1"/>
    <n v="4"/>
    <n v="1250000"/>
    <n v="5000000"/>
  </r>
  <r>
    <s v="S20260021"/>
    <d v="2026-01-25T00:00:00"/>
    <x v="3"/>
    <s v="윤시우"/>
    <s v="키보드"/>
    <x v="0"/>
    <n v="4"/>
    <n v="48000"/>
    <n v="192000"/>
  </r>
  <r>
    <s v="S20260022"/>
    <d v="2026-01-28T00:00:00"/>
    <x v="2"/>
    <s v="최유나"/>
    <s v="키보드"/>
    <x v="0"/>
    <n v="13"/>
    <n v="48000"/>
    <n v="624000"/>
  </r>
  <r>
    <s v="S20260023"/>
    <d v="2026-01-28T00:00:00"/>
    <x v="0"/>
    <s v="이서연"/>
    <s v="키보드"/>
    <x v="0"/>
    <n v="8"/>
    <n v="48000"/>
    <n v="384000"/>
  </r>
  <r>
    <s v="S20260024"/>
    <d v="2026-02-02T00:00:00"/>
    <x v="3"/>
    <s v="윤시우"/>
    <s v="노트북"/>
    <x v="1"/>
    <n v="3"/>
    <n v="1250000"/>
    <n v="3750000"/>
  </r>
  <r>
    <s v="S20260025"/>
    <d v="2026-02-03T00:00:00"/>
    <x v="2"/>
    <s v="최유나"/>
    <s v="키보드"/>
    <x v="0"/>
    <n v="3"/>
    <n v="48000"/>
    <n v="144000"/>
  </r>
  <r>
    <s v="S20260026"/>
    <d v="2026-02-04T00:00:00"/>
    <x v="2"/>
    <s v="최유나"/>
    <s v="모니터"/>
    <x v="1"/>
    <n v="8"/>
    <n v="330000"/>
    <n v="2640000"/>
  </r>
  <r>
    <s v="S20260027"/>
    <d v="2026-02-07T00:00:00"/>
    <x v="0"/>
    <s v="이서연"/>
    <s v="마우스"/>
    <x v="0"/>
    <n v="40"/>
    <n v="27000"/>
    <n v="1080000"/>
  </r>
  <r>
    <s v="S20260028"/>
    <d v="2026-02-07T00:00:00"/>
    <x v="4"/>
    <s v="정하은"/>
    <s v="모니터"/>
    <x v="1"/>
    <n v="6"/>
    <n v="330000"/>
    <n v="1980000"/>
  </r>
  <r>
    <s v="S20260029"/>
    <d v="2026-02-10T00:00:00"/>
    <x v="0"/>
    <s v="이서연"/>
    <s v="노트북"/>
    <x v="1"/>
    <n v="1"/>
    <n v="1250000"/>
    <n v="1250000"/>
  </r>
  <r>
    <s v="S20260030"/>
    <d v="2026-02-11T00:00:00"/>
    <x v="1"/>
    <s v="박지호"/>
    <s v="키보드"/>
    <x v="0"/>
    <n v="16"/>
    <n v="48000"/>
    <n v="768000"/>
  </r>
  <r>
    <s v="S20260031"/>
    <d v="2026-02-12T00:00:00"/>
    <x v="1"/>
    <s v="박지호"/>
    <s v="모니터"/>
    <x v="1"/>
    <n v="5"/>
    <n v="330000"/>
    <n v="1650000"/>
  </r>
  <r>
    <s v="S20260032"/>
    <d v="2026-02-13T00:00:00"/>
    <x v="0"/>
    <s v="강도윤"/>
    <s v="키보드"/>
    <x v="0"/>
    <n v="6"/>
    <n v="48000"/>
    <n v="288000"/>
  </r>
  <r>
    <s v="S20260033"/>
    <d v="2026-02-14T00:00:00"/>
    <x v="2"/>
    <s v="최유나"/>
    <s v="키보드"/>
    <x v="0"/>
    <n v="8"/>
    <n v="48000"/>
    <n v="384000"/>
  </r>
  <r>
    <s v="S20260034"/>
    <d v="2026-02-14T00:00:00"/>
    <x v="3"/>
    <s v="윤시우"/>
    <s v="노트북"/>
    <x v="1"/>
    <n v="4"/>
    <n v="1250000"/>
    <n v="5000000"/>
  </r>
  <r>
    <s v="S20260035"/>
    <d v="2026-02-17T00:00:00"/>
    <x v="2"/>
    <s v="최유나"/>
    <s v="마우스"/>
    <x v="0"/>
    <n v="14"/>
    <n v="27000"/>
    <n v="378000"/>
  </r>
  <r>
    <s v="S20260036"/>
    <d v="2026-02-17T00:00:00"/>
    <x v="1"/>
    <s v="박지호"/>
    <s v="모니터"/>
    <x v="1"/>
    <n v="8"/>
    <n v="330000"/>
    <n v="2640000"/>
  </r>
  <r>
    <s v="S20260037"/>
    <d v="2026-02-20T00:00:00"/>
    <x v="2"/>
    <s v="최유나"/>
    <s v="프린터"/>
    <x v="2"/>
    <n v="2"/>
    <n v="290000"/>
    <n v="580000"/>
  </r>
  <r>
    <s v="S20260038"/>
    <d v="2026-02-22T00:00:00"/>
    <x v="0"/>
    <s v="이서연"/>
    <s v="노트북"/>
    <x v="1"/>
    <n v="3"/>
    <n v="1250000"/>
    <n v="3750000"/>
  </r>
  <r>
    <s v="S20260039"/>
    <d v="2026-02-23T00:00:00"/>
    <x v="3"/>
    <s v="윤시우"/>
    <s v="키보드"/>
    <x v="0"/>
    <n v="6"/>
    <n v="48000"/>
    <n v="288000"/>
  </r>
  <r>
    <s v="S20260040"/>
    <d v="2026-02-24T00:00:00"/>
    <x v="0"/>
    <s v="이서연"/>
    <s v="노트북"/>
    <x v="1"/>
    <n v="1"/>
    <n v="1250000"/>
    <n v="1250000"/>
  </r>
  <r>
    <s v="S20260041"/>
    <d v="2026-02-24T00:00:00"/>
    <x v="3"/>
    <s v="윤시우"/>
    <s v="프린터"/>
    <x v="2"/>
    <n v="1"/>
    <n v="290000"/>
    <n v="290000"/>
  </r>
  <r>
    <s v="S20260042"/>
    <d v="2026-03-01T00:00:00"/>
    <x v="3"/>
    <s v="윤시우"/>
    <s v="노트북"/>
    <x v="1"/>
    <n v="3"/>
    <n v="1250000"/>
    <n v="3750000"/>
  </r>
  <r>
    <s v="S20260043"/>
    <d v="2026-03-01T00:00:00"/>
    <x v="0"/>
    <s v="강도윤"/>
    <s v="마우스"/>
    <x v="0"/>
    <n v="13"/>
    <n v="27000"/>
    <n v="351000"/>
  </r>
  <r>
    <s v="S20260044"/>
    <d v="2026-03-02T00:00:00"/>
    <x v="1"/>
    <s v="김민준"/>
    <s v="노트북"/>
    <x v="1"/>
    <n v="2"/>
    <n v="1250000"/>
    <n v="2500000"/>
  </r>
  <r>
    <s v="S20260045"/>
    <d v="2026-03-02T00:00:00"/>
    <x v="0"/>
    <s v="이서연"/>
    <s v="마우스"/>
    <x v="0"/>
    <n v="30"/>
    <n v="27000"/>
    <n v="810000"/>
  </r>
  <r>
    <s v="S20260046"/>
    <d v="2026-03-05T00:00:00"/>
    <x v="3"/>
    <s v="윤시우"/>
    <s v="노트북"/>
    <x v="1"/>
    <n v="4"/>
    <n v="1250000"/>
    <n v="5000000"/>
  </r>
  <r>
    <s v="S20260047"/>
    <d v="2026-03-05T00:00:00"/>
    <x v="1"/>
    <s v="박지호"/>
    <s v="프린터"/>
    <x v="2"/>
    <n v="1"/>
    <n v="290000"/>
    <n v="290000"/>
  </r>
  <r>
    <s v="S20260048"/>
    <d v="2026-03-07T00:00:00"/>
    <x v="3"/>
    <s v="윤시우"/>
    <s v="프린터"/>
    <x v="2"/>
    <n v="1"/>
    <n v="290000"/>
    <n v="290000"/>
  </r>
  <r>
    <s v="S20260049"/>
    <d v="2026-03-09T00:00:00"/>
    <x v="0"/>
    <s v="강도윤"/>
    <s v="마우스"/>
    <x v="0"/>
    <n v="8"/>
    <n v="27000"/>
    <n v="216000"/>
  </r>
  <r>
    <s v="S20260050"/>
    <d v="2026-03-10T00:00:00"/>
    <x v="4"/>
    <s v="정하은"/>
    <s v="노트북"/>
    <x v="1"/>
    <n v="1"/>
    <n v="1250000"/>
    <n v="1250000"/>
  </r>
  <r>
    <s v="S20260051"/>
    <d v="2026-03-16T00:00:00"/>
    <x v="2"/>
    <s v="최유나"/>
    <s v="노트북"/>
    <x v="1"/>
    <n v="4"/>
    <n v="1250000"/>
    <n v="5000000"/>
  </r>
  <r>
    <s v="S20260052"/>
    <d v="2026-03-20T00:00:00"/>
    <x v="2"/>
    <s v="최유나"/>
    <s v="키보드"/>
    <x v="0"/>
    <n v="14"/>
    <n v="48000"/>
    <n v="672000"/>
  </r>
  <r>
    <s v="S20260053"/>
    <d v="2026-03-25T00:00:00"/>
    <x v="3"/>
    <s v="윤시우"/>
    <s v="모니터"/>
    <x v="1"/>
    <n v="1"/>
    <n v="330000"/>
    <n v="330000"/>
  </r>
  <r>
    <s v="S20260054"/>
    <d v="2026-03-26T00:00:00"/>
    <x v="2"/>
    <s v="최유나"/>
    <s v="키보드"/>
    <x v="0"/>
    <n v="17"/>
    <n v="48000"/>
    <n v="816000"/>
  </r>
  <r>
    <s v="S20260055"/>
    <d v="2026-03-26T00:00:00"/>
    <x v="2"/>
    <s v="최유나"/>
    <s v="키보드"/>
    <x v="0"/>
    <n v="18"/>
    <n v="48000"/>
    <n v="864000"/>
  </r>
  <r>
    <s v="S20260056"/>
    <d v="2026-03-29T00:00:00"/>
    <x v="1"/>
    <s v="박지호"/>
    <s v="키보드"/>
    <x v="0"/>
    <n v="2"/>
    <n v="48000"/>
    <n v="96000"/>
  </r>
  <r>
    <s v="S20260057"/>
    <d v="2026-03-30T00:00:00"/>
    <x v="1"/>
    <s v="김민준"/>
    <s v="키보드"/>
    <x v="0"/>
    <n v="3"/>
    <n v="48000"/>
    <n v="144000"/>
  </r>
  <r>
    <s v="S20260058"/>
    <d v="2026-03-30T00:00:00"/>
    <x v="4"/>
    <s v="정하은"/>
    <s v="키보드"/>
    <x v="0"/>
    <n v="7"/>
    <n v="48000"/>
    <n v="336000"/>
  </r>
  <r>
    <s v="S20260059"/>
    <d v="2026-03-31T00:00:00"/>
    <x v="2"/>
    <s v="최유나"/>
    <s v="키보드"/>
    <x v="0"/>
    <n v="5"/>
    <n v="48000"/>
    <n v="240000"/>
  </r>
  <r>
    <s v="S20260060"/>
    <d v="2026-03-31T00:00:00"/>
    <x v="4"/>
    <s v="정하은"/>
    <s v="프린터"/>
    <x v="2"/>
    <n v="1"/>
    <n v="290000"/>
    <n v="290000"/>
  </r>
  <r>
    <s v="S20260061"/>
    <d v="2026-03-31T00:00:00"/>
    <x v="3"/>
    <s v="윤시우"/>
    <s v="마우스"/>
    <x v="0"/>
    <n v="5"/>
    <n v="27000"/>
    <n v="135000"/>
  </r>
  <r>
    <s v="S20260062"/>
    <d v="2026-04-03T00:00:00"/>
    <x v="1"/>
    <s v="박지호"/>
    <s v="마우스"/>
    <x v="0"/>
    <n v="6"/>
    <n v="27000"/>
    <n v="162000"/>
  </r>
  <r>
    <s v="S20260063"/>
    <d v="2026-04-04T00:00:00"/>
    <x v="1"/>
    <s v="김민준"/>
    <s v="마우스"/>
    <x v="0"/>
    <n v="20"/>
    <n v="27000"/>
    <n v="540000"/>
  </r>
  <r>
    <s v="S20260064"/>
    <d v="2026-04-05T00:00:00"/>
    <x v="1"/>
    <s v="김민준"/>
    <s v="노트북"/>
    <x v="1"/>
    <n v="4"/>
    <n v="1250000"/>
    <n v="5000000"/>
  </r>
  <r>
    <s v="S20260065"/>
    <d v="2026-04-08T00:00:00"/>
    <x v="4"/>
    <s v="정하은"/>
    <s v="키보드"/>
    <x v="0"/>
    <n v="2"/>
    <n v="48000"/>
    <n v="96000"/>
  </r>
  <r>
    <s v="S20260066"/>
    <d v="2026-04-10T00:00:00"/>
    <x v="3"/>
    <s v="윤시우"/>
    <s v="모니터"/>
    <x v="1"/>
    <n v="8"/>
    <n v="330000"/>
    <n v="2640000"/>
  </r>
  <r>
    <s v="S20260067"/>
    <d v="2026-04-13T00:00:00"/>
    <x v="0"/>
    <s v="이서연"/>
    <s v="마우스"/>
    <x v="0"/>
    <n v="10"/>
    <n v="27000"/>
    <n v="270000"/>
  </r>
  <r>
    <s v="S20260068"/>
    <d v="2026-04-13T00:00:00"/>
    <x v="3"/>
    <s v="윤시우"/>
    <s v="노트북"/>
    <x v="1"/>
    <n v="2"/>
    <n v="1250000"/>
    <n v="2500000"/>
  </r>
  <r>
    <s v="S20260069"/>
    <d v="2026-04-14T00:00:00"/>
    <x v="2"/>
    <s v="최유나"/>
    <s v="모니터"/>
    <x v="1"/>
    <n v="8"/>
    <n v="330000"/>
    <n v="2640000"/>
  </r>
  <r>
    <s v="S20260070"/>
    <d v="2026-04-19T00:00:00"/>
    <x v="1"/>
    <s v="김민준"/>
    <s v="노트북"/>
    <x v="1"/>
    <n v="3"/>
    <n v="1250000"/>
    <n v="3750000"/>
  </r>
  <r>
    <s v="S20260071"/>
    <d v="2026-04-22T00:00:00"/>
    <x v="3"/>
    <s v="윤시우"/>
    <s v="키보드"/>
    <x v="0"/>
    <n v="15"/>
    <n v="48000"/>
    <n v="720000"/>
  </r>
  <r>
    <s v="S20260072"/>
    <d v="2026-04-26T00:00:00"/>
    <x v="1"/>
    <s v="박지호"/>
    <s v="노트북"/>
    <x v="1"/>
    <n v="4"/>
    <n v="1250000"/>
    <n v="5000000"/>
  </r>
  <r>
    <s v="S20260073"/>
    <d v="2026-04-26T00:00:00"/>
    <x v="1"/>
    <s v="박지호"/>
    <s v="모니터"/>
    <x v="1"/>
    <n v="6"/>
    <n v="330000"/>
    <n v="1980000"/>
  </r>
  <r>
    <s v="S20260074"/>
    <d v="2026-04-28T00:00:00"/>
    <x v="1"/>
    <s v="박지호"/>
    <s v="프린터"/>
    <x v="2"/>
    <n v="2"/>
    <n v="290000"/>
    <n v="580000"/>
  </r>
  <r>
    <s v="S20260075"/>
    <d v="2026-04-29T00:00:00"/>
    <x v="2"/>
    <s v="최유나"/>
    <s v="마우스"/>
    <x v="0"/>
    <n v="38"/>
    <n v="27000"/>
    <n v="1026000"/>
  </r>
  <r>
    <s v="S20260076"/>
    <d v="2026-05-01T00:00:00"/>
    <x v="0"/>
    <s v="이서연"/>
    <s v="모니터"/>
    <x v="1"/>
    <n v="3"/>
    <n v="330000"/>
    <n v="990000"/>
  </r>
  <r>
    <s v="S20260077"/>
    <d v="2026-05-01T00:00:00"/>
    <x v="0"/>
    <s v="강도윤"/>
    <s v="노트북"/>
    <x v="1"/>
    <n v="2"/>
    <n v="1250000"/>
    <n v="2500000"/>
  </r>
  <r>
    <s v="S20260078"/>
    <d v="2026-05-04T00:00:00"/>
    <x v="3"/>
    <s v="윤시우"/>
    <s v="모니터"/>
    <x v="1"/>
    <n v="1"/>
    <n v="330000"/>
    <n v="330000"/>
  </r>
  <r>
    <s v="S20260079"/>
    <d v="2026-05-07T00:00:00"/>
    <x v="1"/>
    <s v="김민준"/>
    <s v="키보드"/>
    <x v="0"/>
    <n v="4"/>
    <n v="48000"/>
    <n v="192000"/>
  </r>
  <r>
    <s v="S20260080"/>
    <d v="2026-05-08T00:00:00"/>
    <x v="1"/>
    <s v="김민준"/>
    <s v="마우스"/>
    <x v="0"/>
    <n v="14"/>
    <n v="27000"/>
    <n v="378000"/>
  </r>
  <r>
    <s v="S20260081"/>
    <d v="2026-05-10T00:00:00"/>
    <x v="1"/>
    <s v="박지호"/>
    <s v="노트북"/>
    <x v="1"/>
    <n v="1"/>
    <n v="1250000"/>
    <n v="1250000"/>
  </r>
  <r>
    <s v="S20260082"/>
    <d v="2026-05-10T00:00:00"/>
    <x v="2"/>
    <s v="최유나"/>
    <s v="모니터"/>
    <x v="1"/>
    <n v="1"/>
    <n v="330000"/>
    <n v="330000"/>
  </r>
  <r>
    <s v="S20260083"/>
    <d v="2026-05-11T00:00:00"/>
    <x v="0"/>
    <s v="강도윤"/>
    <s v="노트북"/>
    <x v="1"/>
    <n v="1"/>
    <n v="1250000"/>
    <n v="1250000"/>
  </r>
  <r>
    <s v="S20260084"/>
    <d v="2026-05-11T00:00:00"/>
    <x v="3"/>
    <s v="윤시우"/>
    <s v="키보드"/>
    <x v="0"/>
    <n v="10"/>
    <n v="48000"/>
    <n v="480000"/>
  </r>
  <r>
    <s v="S20260085"/>
    <d v="2026-05-13T00:00:00"/>
    <x v="2"/>
    <s v="최유나"/>
    <s v="마우스"/>
    <x v="0"/>
    <n v="37"/>
    <n v="27000"/>
    <n v="999000"/>
  </r>
  <r>
    <s v="S20260086"/>
    <d v="2026-05-14T00:00:00"/>
    <x v="0"/>
    <s v="강도윤"/>
    <s v="노트북"/>
    <x v="1"/>
    <n v="2"/>
    <n v="1250000"/>
    <n v="2500000"/>
  </r>
  <r>
    <s v="S20260087"/>
    <d v="2026-05-14T00:00:00"/>
    <x v="2"/>
    <s v="최유나"/>
    <s v="키보드"/>
    <x v="0"/>
    <n v="4"/>
    <n v="48000"/>
    <n v="192000"/>
  </r>
  <r>
    <s v="S20260088"/>
    <d v="2026-05-16T00:00:00"/>
    <x v="4"/>
    <s v="정하은"/>
    <s v="노트북"/>
    <x v="1"/>
    <n v="2"/>
    <n v="1250000"/>
    <n v="2500000"/>
  </r>
  <r>
    <s v="S20260089"/>
    <d v="2026-05-16T00:00:00"/>
    <x v="4"/>
    <s v="정하은"/>
    <s v="키보드"/>
    <x v="0"/>
    <n v="2"/>
    <n v="48000"/>
    <n v="96000"/>
  </r>
  <r>
    <s v="S20260090"/>
    <d v="2026-05-17T00:00:00"/>
    <x v="1"/>
    <s v="박지호"/>
    <s v="마우스"/>
    <x v="0"/>
    <n v="10"/>
    <n v="27000"/>
    <n v="270000"/>
  </r>
  <r>
    <s v="S20260091"/>
    <d v="2026-05-17T00:00:00"/>
    <x v="4"/>
    <s v="정하은"/>
    <s v="모니터"/>
    <x v="1"/>
    <n v="3"/>
    <n v="330000"/>
    <n v="990000"/>
  </r>
  <r>
    <s v="S20260092"/>
    <d v="2026-05-19T00:00:00"/>
    <x v="1"/>
    <s v="김민준"/>
    <s v="키보드"/>
    <x v="0"/>
    <n v="18"/>
    <n v="48000"/>
    <n v="864000"/>
  </r>
  <r>
    <s v="S20260093"/>
    <d v="2026-05-21T00:00:00"/>
    <x v="4"/>
    <s v="정하은"/>
    <s v="모니터"/>
    <x v="1"/>
    <n v="5"/>
    <n v="330000"/>
    <n v="1650000"/>
  </r>
  <r>
    <s v="S20260094"/>
    <d v="2026-05-22T00:00:00"/>
    <x v="2"/>
    <s v="최유나"/>
    <s v="키보드"/>
    <x v="0"/>
    <n v="8"/>
    <n v="48000"/>
    <n v="384000"/>
  </r>
  <r>
    <s v="S20260095"/>
    <d v="2026-05-22T00:00:00"/>
    <x v="1"/>
    <s v="박지호"/>
    <s v="키보드"/>
    <x v="0"/>
    <n v="13"/>
    <n v="48000"/>
    <n v="624000"/>
  </r>
  <r>
    <s v="S20260096"/>
    <d v="2026-05-23T00:00:00"/>
    <x v="0"/>
    <s v="이서연"/>
    <s v="마우스"/>
    <x v="0"/>
    <n v="12"/>
    <n v="27000"/>
    <n v="324000"/>
  </r>
  <r>
    <s v="S20260097"/>
    <d v="2026-05-23T00:00:00"/>
    <x v="0"/>
    <s v="강도윤"/>
    <s v="마우스"/>
    <x v="0"/>
    <n v="29"/>
    <n v="27000"/>
    <n v="783000"/>
  </r>
  <r>
    <s v="S20260098"/>
    <d v="2026-05-24T00:00:00"/>
    <x v="0"/>
    <s v="강도윤"/>
    <s v="마우스"/>
    <x v="0"/>
    <n v="25"/>
    <n v="27000"/>
    <n v="675000"/>
  </r>
  <r>
    <s v="S20260099"/>
    <d v="2026-05-25T00:00:00"/>
    <x v="1"/>
    <s v="김민준"/>
    <s v="모니터"/>
    <x v="1"/>
    <n v="1"/>
    <n v="330000"/>
    <n v="330000"/>
  </r>
  <r>
    <s v="S20260100"/>
    <d v="2026-05-29T00:00:00"/>
    <x v="1"/>
    <s v="박지호"/>
    <s v="키보드"/>
    <x v="0"/>
    <n v="12"/>
    <n v="48000"/>
    <n v="576000"/>
  </r>
  <r>
    <s v="S20260101"/>
    <d v="2026-06-05T00:00:00"/>
    <x v="4"/>
    <s v="정하은"/>
    <s v="키보드"/>
    <x v="0"/>
    <n v="5"/>
    <n v="48000"/>
    <n v="240000"/>
  </r>
  <r>
    <s v="S20260102"/>
    <d v="2026-06-07T00:00:00"/>
    <x v="4"/>
    <s v="정하은"/>
    <s v="프린터"/>
    <x v="2"/>
    <n v="3"/>
    <n v="290000"/>
    <n v="870000"/>
  </r>
  <r>
    <s v="S20260103"/>
    <d v="2026-06-10T00:00:00"/>
    <x v="1"/>
    <s v="김민준"/>
    <s v="키보드"/>
    <x v="0"/>
    <n v="9"/>
    <n v="48000"/>
    <n v="432000"/>
  </r>
  <r>
    <s v="S20260104"/>
    <d v="2026-06-11T00:00:00"/>
    <x v="4"/>
    <s v="정하은"/>
    <s v="모니터"/>
    <x v="1"/>
    <n v="3"/>
    <n v="330000"/>
    <n v="990000"/>
  </r>
  <r>
    <s v="S20260105"/>
    <d v="2026-06-12T00:00:00"/>
    <x v="2"/>
    <s v="최유나"/>
    <s v="프린터"/>
    <x v="2"/>
    <n v="3"/>
    <n v="290000"/>
    <n v="870000"/>
  </r>
  <r>
    <s v="S20260106"/>
    <d v="2026-06-13T00:00:00"/>
    <x v="1"/>
    <s v="김민준"/>
    <s v="마우스"/>
    <x v="0"/>
    <n v="17"/>
    <n v="27000"/>
    <n v="459000"/>
  </r>
  <r>
    <s v="S20260107"/>
    <d v="2026-06-17T00:00:00"/>
    <x v="3"/>
    <s v="윤시우"/>
    <s v="키보드"/>
    <x v="0"/>
    <n v="14"/>
    <n v="48000"/>
    <n v="672000"/>
  </r>
  <r>
    <s v="S20260108"/>
    <d v="2026-06-18T00:00:00"/>
    <x v="0"/>
    <s v="강도윤"/>
    <s v="마우스"/>
    <x v="0"/>
    <n v="12"/>
    <n v="27000"/>
    <n v="324000"/>
  </r>
  <r>
    <s v="S20260109"/>
    <d v="2026-06-19T00:00:00"/>
    <x v="3"/>
    <s v="윤시우"/>
    <s v="마우스"/>
    <x v="0"/>
    <n v="29"/>
    <n v="27000"/>
    <n v="783000"/>
  </r>
  <r>
    <s v="S20260110"/>
    <d v="2026-06-19T00:00:00"/>
    <x v="0"/>
    <s v="강도윤"/>
    <s v="마우스"/>
    <x v="0"/>
    <n v="35"/>
    <n v="27000"/>
    <n v="945000"/>
  </r>
  <r>
    <s v="S20260111"/>
    <d v="2026-06-23T00:00:00"/>
    <x v="0"/>
    <s v="강도윤"/>
    <s v="마우스"/>
    <x v="0"/>
    <n v="23"/>
    <n v="27000"/>
    <n v="621000"/>
  </r>
  <r>
    <s v="S20260112"/>
    <d v="2026-06-24T00:00:00"/>
    <x v="4"/>
    <s v="정하은"/>
    <s v="모니터"/>
    <x v="1"/>
    <n v="3"/>
    <n v="330000"/>
    <n v="990000"/>
  </r>
  <r>
    <s v="S20260113"/>
    <d v="2026-06-25T00:00:00"/>
    <x v="0"/>
    <s v="강도윤"/>
    <s v="마우스"/>
    <x v="0"/>
    <n v="34"/>
    <n v="27000"/>
    <n v="918000"/>
  </r>
  <r>
    <s v="S20260114"/>
    <d v="2026-06-25T00:00:00"/>
    <x v="4"/>
    <s v="정하은"/>
    <s v="모니터"/>
    <x v="1"/>
    <n v="7"/>
    <n v="330000"/>
    <n v="2310000"/>
  </r>
  <r>
    <s v="S20260115"/>
    <d v="2026-06-28T00:00:00"/>
    <x v="0"/>
    <s v="이서연"/>
    <s v="키보드"/>
    <x v="0"/>
    <n v="16"/>
    <n v="48000"/>
    <n v="768000"/>
  </r>
  <r>
    <s v="S20260116"/>
    <d v="2026-06-28T00:00:00"/>
    <x v="1"/>
    <s v="김민준"/>
    <s v="키보드"/>
    <x v="0"/>
    <n v="17"/>
    <n v="48000"/>
    <n v="816000"/>
  </r>
  <r>
    <s v="S20260117"/>
    <d v="2026-06-28T00:00:00"/>
    <x v="1"/>
    <s v="박지호"/>
    <s v="키보드"/>
    <x v="0"/>
    <n v="7"/>
    <n v="48000"/>
    <n v="336000"/>
  </r>
  <r>
    <s v="S20260118"/>
    <d v="2026-06-29T00:00:00"/>
    <x v="0"/>
    <s v="이서연"/>
    <s v="마우스"/>
    <x v="0"/>
    <n v="21"/>
    <n v="27000"/>
    <n v="567000"/>
  </r>
  <r>
    <s v="S20260119"/>
    <d v="2026-06-30T00:00:00"/>
    <x v="1"/>
    <s v="박지호"/>
    <s v="키보드"/>
    <x v="0"/>
    <n v="16"/>
    <n v="48000"/>
    <n v="768000"/>
  </r>
  <r>
    <s v="S20260120"/>
    <d v="2026-06-30T00:00:00"/>
    <x v="1"/>
    <s v="박지호"/>
    <s v="모니터"/>
    <x v="1"/>
    <n v="3"/>
    <n v="330000"/>
    <n v="99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DD894-AF32-425D-8A56-A6992FC42879}" name="PT1" cacheId="3" applyNumberFormats="0" applyBorderFormats="0" applyFontFormats="0" applyPatternFormats="0" applyAlignmentFormats="0" applyWidthHeightFormats="1" dataCaption="값" updatedVersion="6" minRefreshableVersion="3" showCalcMbrs="0" useAutoFormatting="1" itemPrintTitles="1" createdVersion="3" indent="0" outline="1" outlineData="1" multipleFieldFilters="0">
  <location ref="A3:E10" firstHeaderRow="1" firstDataRow="2" firstDataCol="1"/>
  <pivotFields count="9">
    <pivotField showAll="0"/>
    <pivotField numFmtId="176"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numFmtId="3" showAll="0"/>
    <pivotField dataField="1" numFmtId="3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Amount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/>
  </sheetViews>
  <sheetFormatPr defaultRowHeight="17.399999999999999" x14ac:dyDescent="0.4"/>
  <cols>
    <col min="1" max="1" width="6" customWidth="1"/>
    <col min="2" max="2" width="26" customWidth="1"/>
    <col min="3" max="3" width="90" customWidth="1"/>
  </cols>
  <sheetData>
    <row r="1" spans="1:3" ht="24" x14ac:dyDescent="0.55000000000000004">
      <c r="A1" s="1" t="s">
        <v>0</v>
      </c>
    </row>
    <row r="2" spans="1:3" x14ac:dyDescent="0.4">
      <c r="A2" t="s">
        <v>1</v>
      </c>
    </row>
    <row r="3" spans="1:3" x14ac:dyDescent="0.4">
      <c r="A3" t="s">
        <v>2</v>
      </c>
    </row>
    <row r="5" spans="1:3" x14ac:dyDescent="0.4">
      <c r="A5" s="2" t="s">
        <v>3</v>
      </c>
      <c r="B5" s="2" t="s">
        <v>4</v>
      </c>
      <c r="C5" s="2" t="s">
        <v>5</v>
      </c>
    </row>
    <row r="6" spans="1:3" x14ac:dyDescent="0.4">
      <c r="A6">
        <v>1</v>
      </c>
      <c r="B6" t="s">
        <v>6</v>
      </c>
      <c r="C6" t="s">
        <v>7</v>
      </c>
    </row>
    <row r="7" spans="1:3" x14ac:dyDescent="0.4">
      <c r="A7">
        <v>2</v>
      </c>
      <c r="B7" t="s">
        <v>8</v>
      </c>
      <c r="C7" t="s">
        <v>9</v>
      </c>
    </row>
    <row r="8" spans="1:3" x14ac:dyDescent="0.4">
      <c r="A8">
        <v>3</v>
      </c>
      <c r="B8" t="s">
        <v>10</v>
      </c>
      <c r="C8" t="s">
        <v>11</v>
      </c>
    </row>
    <row r="9" spans="1:3" x14ac:dyDescent="0.4">
      <c r="A9">
        <v>4</v>
      </c>
      <c r="B9" t="s">
        <v>12</v>
      </c>
      <c r="C9" t="s">
        <v>13</v>
      </c>
    </row>
    <row r="10" spans="1:3" x14ac:dyDescent="0.4">
      <c r="A10">
        <v>5</v>
      </c>
      <c r="B10" t="s">
        <v>14</v>
      </c>
      <c r="C10" t="s">
        <v>15</v>
      </c>
    </row>
    <row r="11" spans="1:3" x14ac:dyDescent="0.4">
      <c r="A11">
        <v>6</v>
      </c>
      <c r="B11" t="s">
        <v>16</v>
      </c>
      <c r="C11" t="s">
        <v>17</v>
      </c>
    </row>
    <row r="12" spans="1:3" x14ac:dyDescent="0.4">
      <c r="A12">
        <v>7</v>
      </c>
      <c r="B12" t="s">
        <v>18</v>
      </c>
      <c r="C12" t="s">
        <v>19</v>
      </c>
    </row>
    <row r="13" spans="1:3" x14ac:dyDescent="0.4">
      <c r="A13">
        <v>8</v>
      </c>
      <c r="B13" t="s">
        <v>20</v>
      </c>
      <c r="C13" t="s">
        <v>21</v>
      </c>
    </row>
    <row r="14" spans="1:3" x14ac:dyDescent="0.4">
      <c r="A14">
        <v>9</v>
      </c>
      <c r="B14" t="s">
        <v>22</v>
      </c>
      <c r="C14" t="s">
        <v>23</v>
      </c>
    </row>
    <row r="15" spans="1:3" x14ac:dyDescent="0.4">
      <c r="A15">
        <v>10</v>
      </c>
      <c r="B15" t="s">
        <v>24</v>
      </c>
      <c r="C15" t="s">
        <v>25</v>
      </c>
    </row>
    <row r="16" spans="1:3" x14ac:dyDescent="0.4">
      <c r="A16">
        <v>11</v>
      </c>
      <c r="B16" t="s">
        <v>26</v>
      </c>
      <c r="C16" t="s">
        <v>27</v>
      </c>
    </row>
    <row r="17" spans="1:3" x14ac:dyDescent="0.4">
      <c r="A17">
        <v>12</v>
      </c>
      <c r="B17" t="s">
        <v>28</v>
      </c>
      <c r="C17" t="s">
        <v>29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1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9" width="13" customWidth="1"/>
  </cols>
  <sheetData>
    <row r="1" spans="1:9" x14ac:dyDescent="0.4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</row>
    <row r="2" spans="1:9" x14ac:dyDescent="0.4">
      <c r="A2" t="s">
        <v>39</v>
      </c>
      <c r="B2" s="4">
        <v>46024</v>
      </c>
      <c r="C2" t="s">
        <v>40</v>
      </c>
      <c r="D2" t="s">
        <v>41</v>
      </c>
      <c r="E2" t="s">
        <v>42</v>
      </c>
      <c r="F2" t="s">
        <v>43</v>
      </c>
      <c r="G2">
        <v>13</v>
      </c>
      <c r="H2" s="5">
        <v>48000</v>
      </c>
      <c r="I2" s="5">
        <v>624000</v>
      </c>
    </row>
    <row r="3" spans="1:9" x14ac:dyDescent="0.4">
      <c r="A3" t="s">
        <v>44</v>
      </c>
      <c r="B3" s="4">
        <v>46025</v>
      </c>
      <c r="C3" t="s">
        <v>45</v>
      </c>
      <c r="D3" t="s">
        <v>46</v>
      </c>
      <c r="E3" t="s">
        <v>42</v>
      </c>
      <c r="F3" t="s">
        <v>43</v>
      </c>
      <c r="G3">
        <v>20</v>
      </c>
      <c r="H3" s="5">
        <v>48000</v>
      </c>
      <c r="I3" s="5">
        <v>960000</v>
      </c>
    </row>
    <row r="4" spans="1:9" x14ac:dyDescent="0.4">
      <c r="A4" t="s">
        <v>47</v>
      </c>
      <c r="B4" s="4">
        <v>46027</v>
      </c>
      <c r="C4" t="s">
        <v>40</v>
      </c>
      <c r="D4" t="s">
        <v>48</v>
      </c>
      <c r="E4" t="s">
        <v>42</v>
      </c>
      <c r="F4" t="s">
        <v>43</v>
      </c>
      <c r="G4">
        <v>10</v>
      </c>
      <c r="H4" s="5">
        <v>48000</v>
      </c>
      <c r="I4" s="5">
        <v>480000</v>
      </c>
    </row>
    <row r="5" spans="1:9" x14ac:dyDescent="0.4">
      <c r="A5" t="s">
        <v>49</v>
      </c>
      <c r="B5" s="4">
        <v>46027</v>
      </c>
      <c r="C5" t="s">
        <v>40</v>
      </c>
      <c r="D5" t="s">
        <v>41</v>
      </c>
      <c r="E5" t="s">
        <v>42</v>
      </c>
      <c r="F5" t="s">
        <v>43</v>
      </c>
      <c r="G5">
        <v>5</v>
      </c>
      <c r="H5" s="5">
        <v>48000</v>
      </c>
      <c r="I5" s="5">
        <v>240000</v>
      </c>
    </row>
    <row r="6" spans="1:9" x14ac:dyDescent="0.4">
      <c r="A6" t="s">
        <v>50</v>
      </c>
      <c r="B6" s="4">
        <v>46028</v>
      </c>
      <c r="C6" t="s">
        <v>51</v>
      </c>
      <c r="D6" t="s">
        <v>52</v>
      </c>
      <c r="E6" t="s">
        <v>42</v>
      </c>
      <c r="F6" t="s">
        <v>43</v>
      </c>
      <c r="G6">
        <v>8</v>
      </c>
      <c r="H6" s="5">
        <v>48000</v>
      </c>
      <c r="I6" s="5">
        <v>384000</v>
      </c>
    </row>
    <row r="7" spans="1:9" x14ac:dyDescent="0.4">
      <c r="A7" t="s">
        <v>53</v>
      </c>
      <c r="B7" s="4">
        <v>46029</v>
      </c>
      <c r="C7" t="s">
        <v>45</v>
      </c>
      <c r="D7" t="s">
        <v>54</v>
      </c>
      <c r="E7" t="s">
        <v>42</v>
      </c>
      <c r="F7" t="s">
        <v>43</v>
      </c>
      <c r="G7">
        <v>4</v>
      </c>
      <c r="H7" s="5">
        <v>48000</v>
      </c>
      <c r="I7" s="5">
        <v>192000</v>
      </c>
    </row>
    <row r="8" spans="1:9" x14ac:dyDescent="0.4">
      <c r="A8" t="s">
        <v>55</v>
      </c>
      <c r="B8" s="4">
        <v>46031</v>
      </c>
      <c r="C8" t="s">
        <v>56</v>
      </c>
      <c r="D8" t="s">
        <v>57</v>
      </c>
      <c r="E8" t="s">
        <v>58</v>
      </c>
      <c r="F8" t="s">
        <v>43</v>
      </c>
      <c r="G8">
        <v>35</v>
      </c>
      <c r="H8" s="5">
        <v>27000</v>
      </c>
      <c r="I8" s="5">
        <v>945000</v>
      </c>
    </row>
    <row r="9" spans="1:9" x14ac:dyDescent="0.4">
      <c r="A9" t="s">
        <v>59</v>
      </c>
      <c r="B9" s="4">
        <v>46031</v>
      </c>
      <c r="C9" t="s">
        <v>45</v>
      </c>
      <c r="D9" t="s">
        <v>46</v>
      </c>
      <c r="E9" t="s">
        <v>60</v>
      </c>
      <c r="F9" t="s">
        <v>61</v>
      </c>
      <c r="G9">
        <v>4</v>
      </c>
      <c r="H9" s="5">
        <v>330000</v>
      </c>
      <c r="I9" s="5">
        <v>1320000</v>
      </c>
    </row>
    <row r="10" spans="1:9" x14ac:dyDescent="0.4">
      <c r="A10" t="s">
        <v>62</v>
      </c>
      <c r="B10" s="4">
        <v>46033</v>
      </c>
      <c r="C10" t="s">
        <v>45</v>
      </c>
      <c r="D10" t="s">
        <v>54</v>
      </c>
      <c r="E10" t="s">
        <v>42</v>
      </c>
      <c r="F10" t="s">
        <v>43</v>
      </c>
      <c r="G10">
        <v>9</v>
      </c>
      <c r="H10" s="5">
        <v>48000</v>
      </c>
      <c r="I10" s="5">
        <v>432000</v>
      </c>
    </row>
    <row r="11" spans="1:9" x14ac:dyDescent="0.4">
      <c r="A11" t="s">
        <v>63</v>
      </c>
      <c r="B11" s="4">
        <v>46034</v>
      </c>
      <c r="C11" t="s">
        <v>56</v>
      </c>
      <c r="D11" t="s">
        <v>57</v>
      </c>
      <c r="E11" t="s">
        <v>60</v>
      </c>
      <c r="F11" t="s">
        <v>61</v>
      </c>
      <c r="G11">
        <v>3</v>
      </c>
      <c r="H11" s="5">
        <v>330000</v>
      </c>
      <c r="I11" s="5">
        <v>990000</v>
      </c>
    </row>
    <row r="12" spans="1:9" x14ac:dyDescent="0.4">
      <c r="A12" t="s">
        <v>64</v>
      </c>
      <c r="B12" s="4">
        <v>46036</v>
      </c>
      <c r="C12" t="s">
        <v>56</v>
      </c>
      <c r="D12" t="s">
        <v>57</v>
      </c>
      <c r="E12" t="s">
        <v>65</v>
      </c>
      <c r="F12" t="s">
        <v>61</v>
      </c>
      <c r="G12">
        <v>2</v>
      </c>
      <c r="H12" s="5">
        <v>1250000</v>
      </c>
      <c r="I12" s="5">
        <v>2500000</v>
      </c>
    </row>
    <row r="13" spans="1:9" x14ac:dyDescent="0.4">
      <c r="A13" t="s">
        <v>66</v>
      </c>
      <c r="B13" s="4">
        <v>46042</v>
      </c>
      <c r="C13" t="s">
        <v>56</v>
      </c>
      <c r="D13" t="s">
        <v>57</v>
      </c>
      <c r="E13" t="s">
        <v>42</v>
      </c>
      <c r="F13" t="s">
        <v>43</v>
      </c>
      <c r="G13">
        <v>6</v>
      </c>
      <c r="H13" s="5">
        <v>48000</v>
      </c>
      <c r="I13" s="5">
        <v>288000</v>
      </c>
    </row>
    <row r="14" spans="1:9" x14ac:dyDescent="0.4">
      <c r="A14" t="s">
        <v>67</v>
      </c>
      <c r="B14" s="4">
        <v>46042</v>
      </c>
      <c r="C14" t="s">
        <v>51</v>
      </c>
      <c r="D14" t="s">
        <v>52</v>
      </c>
      <c r="E14" t="s">
        <v>42</v>
      </c>
      <c r="F14" t="s">
        <v>43</v>
      </c>
      <c r="G14">
        <v>8</v>
      </c>
      <c r="H14" s="5">
        <v>48000</v>
      </c>
      <c r="I14" s="5">
        <v>384000</v>
      </c>
    </row>
    <row r="15" spans="1:9" x14ac:dyDescent="0.4">
      <c r="A15" t="s">
        <v>68</v>
      </c>
      <c r="B15" s="4">
        <v>46042</v>
      </c>
      <c r="C15" t="s">
        <v>45</v>
      </c>
      <c r="D15" t="s">
        <v>46</v>
      </c>
      <c r="E15" t="s">
        <v>65</v>
      </c>
      <c r="F15" t="s">
        <v>61</v>
      </c>
      <c r="G15">
        <v>1</v>
      </c>
      <c r="H15" s="5">
        <v>1250000</v>
      </c>
      <c r="I15" s="5">
        <v>1250000</v>
      </c>
    </row>
    <row r="16" spans="1:9" x14ac:dyDescent="0.4">
      <c r="A16" t="s">
        <v>69</v>
      </c>
      <c r="B16" s="4">
        <v>46043</v>
      </c>
      <c r="C16" t="s">
        <v>70</v>
      </c>
      <c r="D16" t="s">
        <v>71</v>
      </c>
      <c r="E16" t="s">
        <v>60</v>
      </c>
      <c r="F16" t="s">
        <v>61</v>
      </c>
      <c r="G16">
        <v>4</v>
      </c>
      <c r="H16" s="5">
        <v>330000</v>
      </c>
      <c r="I16" s="5">
        <v>1320000</v>
      </c>
    </row>
    <row r="17" spans="1:9" x14ac:dyDescent="0.4">
      <c r="A17" t="s">
        <v>72</v>
      </c>
      <c r="B17" s="4">
        <v>46043</v>
      </c>
      <c r="C17" t="s">
        <v>51</v>
      </c>
      <c r="D17" t="s">
        <v>52</v>
      </c>
      <c r="E17" t="s">
        <v>60</v>
      </c>
      <c r="F17" t="s">
        <v>61</v>
      </c>
      <c r="G17">
        <v>5</v>
      </c>
      <c r="H17" s="5">
        <v>330000</v>
      </c>
      <c r="I17" s="5">
        <v>1650000</v>
      </c>
    </row>
    <row r="18" spans="1:9" x14ac:dyDescent="0.4">
      <c r="A18" t="s">
        <v>73</v>
      </c>
      <c r="B18" s="4">
        <v>46045</v>
      </c>
      <c r="C18" t="s">
        <v>51</v>
      </c>
      <c r="D18" t="s">
        <v>52</v>
      </c>
      <c r="E18" t="s">
        <v>60</v>
      </c>
      <c r="F18" t="s">
        <v>61</v>
      </c>
      <c r="G18">
        <v>5</v>
      </c>
      <c r="H18" s="5">
        <v>330000</v>
      </c>
      <c r="I18" s="5">
        <v>1650000</v>
      </c>
    </row>
    <row r="19" spans="1:9" x14ac:dyDescent="0.4">
      <c r="A19" t="s">
        <v>74</v>
      </c>
      <c r="B19" s="4">
        <v>46045</v>
      </c>
      <c r="C19" t="s">
        <v>51</v>
      </c>
      <c r="D19" t="s">
        <v>52</v>
      </c>
      <c r="E19" t="s">
        <v>60</v>
      </c>
      <c r="F19" t="s">
        <v>61</v>
      </c>
      <c r="G19">
        <v>5</v>
      </c>
      <c r="H19" s="5">
        <v>330000</v>
      </c>
      <c r="I19" s="5">
        <v>1650000</v>
      </c>
    </row>
    <row r="20" spans="1:9" x14ac:dyDescent="0.4">
      <c r="A20" t="s">
        <v>75</v>
      </c>
      <c r="B20" s="4">
        <v>46045</v>
      </c>
      <c r="C20" t="s">
        <v>45</v>
      </c>
      <c r="D20" t="s">
        <v>54</v>
      </c>
      <c r="E20" t="s">
        <v>65</v>
      </c>
      <c r="F20" t="s">
        <v>61</v>
      </c>
      <c r="G20">
        <v>3</v>
      </c>
      <c r="H20" s="5">
        <v>1250000</v>
      </c>
      <c r="I20" s="5">
        <v>3750000</v>
      </c>
    </row>
    <row r="21" spans="1:9" x14ac:dyDescent="0.4">
      <c r="A21" t="s">
        <v>76</v>
      </c>
      <c r="B21" s="4">
        <v>46045</v>
      </c>
      <c r="C21" t="s">
        <v>56</v>
      </c>
      <c r="D21" t="s">
        <v>57</v>
      </c>
      <c r="E21" t="s">
        <v>65</v>
      </c>
      <c r="F21" t="s">
        <v>61</v>
      </c>
      <c r="G21">
        <v>4</v>
      </c>
      <c r="H21" s="5">
        <v>1250000</v>
      </c>
      <c r="I21" s="5">
        <v>5000000</v>
      </c>
    </row>
    <row r="22" spans="1:9" x14ac:dyDescent="0.4">
      <c r="A22" t="s">
        <v>77</v>
      </c>
      <c r="B22" s="4">
        <v>46047</v>
      </c>
      <c r="C22" t="s">
        <v>56</v>
      </c>
      <c r="D22" t="s">
        <v>57</v>
      </c>
      <c r="E22" t="s">
        <v>42</v>
      </c>
      <c r="F22" t="s">
        <v>43</v>
      </c>
      <c r="G22">
        <v>4</v>
      </c>
      <c r="H22" s="5">
        <v>48000</v>
      </c>
      <c r="I22" s="5">
        <v>192000</v>
      </c>
    </row>
    <row r="23" spans="1:9" x14ac:dyDescent="0.4">
      <c r="A23" t="s">
        <v>78</v>
      </c>
      <c r="B23" s="4">
        <v>46050</v>
      </c>
      <c r="C23" t="s">
        <v>51</v>
      </c>
      <c r="D23" t="s">
        <v>52</v>
      </c>
      <c r="E23" t="s">
        <v>42</v>
      </c>
      <c r="F23" t="s">
        <v>43</v>
      </c>
      <c r="G23">
        <v>13</v>
      </c>
      <c r="H23" s="5">
        <v>48000</v>
      </c>
      <c r="I23" s="5">
        <v>624000</v>
      </c>
    </row>
    <row r="24" spans="1:9" x14ac:dyDescent="0.4">
      <c r="A24" t="s">
        <v>79</v>
      </c>
      <c r="B24" s="4">
        <v>46050</v>
      </c>
      <c r="C24" t="s">
        <v>40</v>
      </c>
      <c r="D24" t="s">
        <v>41</v>
      </c>
      <c r="E24" t="s">
        <v>42</v>
      </c>
      <c r="F24" t="s">
        <v>43</v>
      </c>
      <c r="G24">
        <v>8</v>
      </c>
      <c r="H24" s="5">
        <v>48000</v>
      </c>
      <c r="I24" s="5">
        <v>384000</v>
      </c>
    </row>
    <row r="25" spans="1:9" x14ac:dyDescent="0.4">
      <c r="A25" t="s">
        <v>80</v>
      </c>
      <c r="B25" s="4">
        <v>46055</v>
      </c>
      <c r="C25" t="s">
        <v>56</v>
      </c>
      <c r="D25" t="s">
        <v>57</v>
      </c>
      <c r="E25" t="s">
        <v>65</v>
      </c>
      <c r="F25" t="s">
        <v>61</v>
      </c>
      <c r="G25">
        <v>3</v>
      </c>
      <c r="H25" s="5">
        <v>1250000</v>
      </c>
      <c r="I25" s="5">
        <v>3750000</v>
      </c>
    </row>
    <row r="26" spans="1:9" x14ac:dyDescent="0.4">
      <c r="A26" t="s">
        <v>81</v>
      </c>
      <c r="B26" s="4">
        <v>46056</v>
      </c>
      <c r="C26" t="s">
        <v>51</v>
      </c>
      <c r="D26" t="s">
        <v>52</v>
      </c>
      <c r="E26" t="s">
        <v>42</v>
      </c>
      <c r="F26" t="s">
        <v>43</v>
      </c>
      <c r="G26">
        <v>3</v>
      </c>
      <c r="H26" s="5">
        <v>48000</v>
      </c>
      <c r="I26" s="5">
        <v>144000</v>
      </c>
    </row>
    <row r="27" spans="1:9" x14ac:dyDescent="0.4">
      <c r="A27" t="s">
        <v>82</v>
      </c>
      <c r="B27" s="4">
        <v>46057</v>
      </c>
      <c r="C27" t="s">
        <v>51</v>
      </c>
      <c r="D27" t="s">
        <v>52</v>
      </c>
      <c r="E27" t="s">
        <v>60</v>
      </c>
      <c r="F27" t="s">
        <v>61</v>
      </c>
      <c r="G27">
        <v>8</v>
      </c>
      <c r="H27" s="5">
        <v>330000</v>
      </c>
      <c r="I27" s="5">
        <v>2640000</v>
      </c>
    </row>
    <row r="28" spans="1:9" x14ac:dyDescent="0.4">
      <c r="A28" t="s">
        <v>83</v>
      </c>
      <c r="B28" s="4">
        <v>46060</v>
      </c>
      <c r="C28" t="s">
        <v>40</v>
      </c>
      <c r="D28" t="s">
        <v>41</v>
      </c>
      <c r="E28" t="s">
        <v>58</v>
      </c>
      <c r="F28" t="s">
        <v>43</v>
      </c>
      <c r="G28">
        <v>40</v>
      </c>
      <c r="H28" s="5">
        <v>27000</v>
      </c>
      <c r="I28" s="5">
        <v>1080000</v>
      </c>
    </row>
    <row r="29" spans="1:9" x14ac:dyDescent="0.4">
      <c r="A29" t="s">
        <v>84</v>
      </c>
      <c r="B29" s="4">
        <v>46060</v>
      </c>
      <c r="C29" t="s">
        <v>70</v>
      </c>
      <c r="D29" t="s">
        <v>71</v>
      </c>
      <c r="E29" t="s">
        <v>60</v>
      </c>
      <c r="F29" t="s">
        <v>61</v>
      </c>
      <c r="G29">
        <v>6</v>
      </c>
      <c r="H29" s="5">
        <v>330000</v>
      </c>
      <c r="I29" s="5">
        <v>1980000</v>
      </c>
    </row>
    <row r="30" spans="1:9" x14ac:dyDescent="0.4">
      <c r="A30" t="s">
        <v>85</v>
      </c>
      <c r="B30" s="4">
        <v>46063</v>
      </c>
      <c r="C30" t="s">
        <v>40</v>
      </c>
      <c r="D30" t="s">
        <v>41</v>
      </c>
      <c r="E30" t="s">
        <v>65</v>
      </c>
      <c r="F30" t="s">
        <v>61</v>
      </c>
      <c r="G30">
        <v>1</v>
      </c>
      <c r="H30" s="5">
        <v>1250000</v>
      </c>
      <c r="I30" s="5">
        <v>1250000</v>
      </c>
    </row>
    <row r="31" spans="1:9" x14ac:dyDescent="0.4">
      <c r="A31" t="s">
        <v>86</v>
      </c>
      <c r="B31" s="4">
        <v>46064</v>
      </c>
      <c r="C31" t="s">
        <v>45</v>
      </c>
      <c r="D31" t="s">
        <v>46</v>
      </c>
      <c r="E31" t="s">
        <v>42</v>
      </c>
      <c r="F31" t="s">
        <v>43</v>
      </c>
      <c r="G31">
        <v>16</v>
      </c>
      <c r="H31" s="5">
        <v>48000</v>
      </c>
      <c r="I31" s="5">
        <v>768000</v>
      </c>
    </row>
    <row r="32" spans="1:9" x14ac:dyDescent="0.4">
      <c r="A32" t="s">
        <v>87</v>
      </c>
      <c r="B32" s="4">
        <v>46065</v>
      </c>
      <c r="C32" t="s">
        <v>45</v>
      </c>
      <c r="D32" t="s">
        <v>46</v>
      </c>
      <c r="E32" t="s">
        <v>60</v>
      </c>
      <c r="F32" t="s">
        <v>61</v>
      </c>
      <c r="G32">
        <v>5</v>
      </c>
      <c r="H32" s="5">
        <v>330000</v>
      </c>
      <c r="I32" s="5">
        <v>1650000</v>
      </c>
    </row>
    <row r="33" spans="1:9" x14ac:dyDescent="0.4">
      <c r="A33" t="s">
        <v>88</v>
      </c>
      <c r="B33" s="4">
        <v>46066</v>
      </c>
      <c r="C33" t="s">
        <v>40</v>
      </c>
      <c r="D33" t="s">
        <v>48</v>
      </c>
      <c r="E33" t="s">
        <v>42</v>
      </c>
      <c r="F33" t="s">
        <v>43</v>
      </c>
      <c r="G33">
        <v>6</v>
      </c>
      <c r="H33" s="5">
        <v>48000</v>
      </c>
      <c r="I33" s="5">
        <v>288000</v>
      </c>
    </row>
    <row r="34" spans="1:9" x14ac:dyDescent="0.4">
      <c r="A34" t="s">
        <v>89</v>
      </c>
      <c r="B34" s="4">
        <v>46067</v>
      </c>
      <c r="C34" t="s">
        <v>51</v>
      </c>
      <c r="D34" t="s">
        <v>52</v>
      </c>
      <c r="E34" t="s">
        <v>42</v>
      </c>
      <c r="F34" t="s">
        <v>43</v>
      </c>
      <c r="G34">
        <v>8</v>
      </c>
      <c r="H34" s="5">
        <v>48000</v>
      </c>
      <c r="I34" s="5">
        <v>384000</v>
      </c>
    </row>
    <row r="35" spans="1:9" x14ac:dyDescent="0.4">
      <c r="A35" t="s">
        <v>90</v>
      </c>
      <c r="B35" s="4">
        <v>46067</v>
      </c>
      <c r="C35" t="s">
        <v>56</v>
      </c>
      <c r="D35" t="s">
        <v>57</v>
      </c>
      <c r="E35" t="s">
        <v>65</v>
      </c>
      <c r="F35" t="s">
        <v>61</v>
      </c>
      <c r="G35">
        <v>4</v>
      </c>
      <c r="H35" s="5">
        <v>1250000</v>
      </c>
      <c r="I35" s="5">
        <v>5000000</v>
      </c>
    </row>
    <row r="36" spans="1:9" x14ac:dyDescent="0.4">
      <c r="A36" t="s">
        <v>91</v>
      </c>
      <c r="B36" s="4">
        <v>46070</v>
      </c>
      <c r="C36" t="s">
        <v>51</v>
      </c>
      <c r="D36" t="s">
        <v>52</v>
      </c>
      <c r="E36" t="s">
        <v>58</v>
      </c>
      <c r="F36" t="s">
        <v>43</v>
      </c>
      <c r="G36">
        <v>14</v>
      </c>
      <c r="H36" s="5">
        <v>27000</v>
      </c>
      <c r="I36" s="5">
        <v>378000</v>
      </c>
    </row>
    <row r="37" spans="1:9" x14ac:dyDescent="0.4">
      <c r="A37" t="s">
        <v>92</v>
      </c>
      <c r="B37" s="4">
        <v>46070</v>
      </c>
      <c r="C37" t="s">
        <v>45</v>
      </c>
      <c r="D37" t="s">
        <v>46</v>
      </c>
      <c r="E37" t="s">
        <v>60</v>
      </c>
      <c r="F37" t="s">
        <v>61</v>
      </c>
      <c r="G37">
        <v>8</v>
      </c>
      <c r="H37" s="5">
        <v>330000</v>
      </c>
      <c r="I37" s="5">
        <v>2640000</v>
      </c>
    </row>
    <row r="38" spans="1:9" x14ac:dyDescent="0.4">
      <c r="A38" t="s">
        <v>93</v>
      </c>
      <c r="B38" s="4">
        <v>46073</v>
      </c>
      <c r="C38" t="s">
        <v>51</v>
      </c>
      <c r="D38" t="s">
        <v>52</v>
      </c>
      <c r="E38" t="s">
        <v>94</v>
      </c>
      <c r="F38" t="s">
        <v>95</v>
      </c>
      <c r="G38">
        <v>2</v>
      </c>
      <c r="H38" s="5">
        <v>290000</v>
      </c>
      <c r="I38" s="5">
        <v>580000</v>
      </c>
    </row>
    <row r="39" spans="1:9" x14ac:dyDescent="0.4">
      <c r="A39" t="s">
        <v>96</v>
      </c>
      <c r="B39" s="4">
        <v>46075</v>
      </c>
      <c r="C39" t="s">
        <v>40</v>
      </c>
      <c r="D39" t="s">
        <v>41</v>
      </c>
      <c r="E39" t="s">
        <v>65</v>
      </c>
      <c r="F39" t="s">
        <v>61</v>
      </c>
      <c r="G39">
        <v>3</v>
      </c>
      <c r="H39" s="5">
        <v>1250000</v>
      </c>
      <c r="I39" s="5">
        <v>3750000</v>
      </c>
    </row>
    <row r="40" spans="1:9" x14ac:dyDescent="0.4">
      <c r="A40" t="s">
        <v>97</v>
      </c>
      <c r="B40" s="4">
        <v>46076</v>
      </c>
      <c r="C40" t="s">
        <v>56</v>
      </c>
      <c r="D40" t="s">
        <v>57</v>
      </c>
      <c r="E40" t="s">
        <v>42</v>
      </c>
      <c r="F40" t="s">
        <v>43</v>
      </c>
      <c r="G40">
        <v>6</v>
      </c>
      <c r="H40" s="5">
        <v>48000</v>
      </c>
      <c r="I40" s="5">
        <v>288000</v>
      </c>
    </row>
    <row r="41" spans="1:9" x14ac:dyDescent="0.4">
      <c r="A41" t="s">
        <v>98</v>
      </c>
      <c r="B41" s="4">
        <v>46077</v>
      </c>
      <c r="C41" t="s">
        <v>40</v>
      </c>
      <c r="D41" t="s">
        <v>41</v>
      </c>
      <c r="E41" t="s">
        <v>65</v>
      </c>
      <c r="F41" t="s">
        <v>61</v>
      </c>
      <c r="G41">
        <v>1</v>
      </c>
      <c r="H41" s="5">
        <v>1250000</v>
      </c>
      <c r="I41" s="5">
        <v>1250000</v>
      </c>
    </row>
    <row r="42" spans="1:9" x14ac:dyDescent="0.4">
      <c r="A42" t="s">
        <v>99</v>
      </c>
      <c r="B42" s="4">
        <v>46077</v>
      </c>
      <c r="C42" t="s">
        <v>56</v>
      </c>
      <c r="D42" t="s">
        <v>57</v>
      </c>
      <c r="E42" t="s">
        <v>94</v>
      </c>
      <c r="F42" t="s">
        <v>95</v>
      </c>
      <c r="G42">
        <v>1</v>
      </c>
      <c r="H42" s="5">
        <v>290000</v>
      </c>
      <c r="I42" s="5">
        <v>290000</v>
      </c>
    </row>
    <row r="43" spans="1:9" x14ac:dyDescent="0.4">
      <c r="A43" t="s">
        <v>100</v>
      </c>
      <c r="B43" s="4">
        <v>46082</v>
      </c>
      <c r="C43" t="s">
        <v>56</v>
      </c>
      <c r="D43" t="s">
        <v>57</v>
      </c>
      <c r="E43" t="s">
        <v>65</v>
      </c>
      <c r="F43" t="s">
        <v>61</v>
      </c>
      <c r="G43">
        <v>3</v>
      </c>
      <c r="H43" s="5">
        <v>1250000</v>
      </c>
      <c r="I43" s="5">
        <v>3750000</v>
      </c>
    </row>
    <row r="44" spans="1:9" x14ac:dyDescent="0.4">
      <c r="A44" t="s">
        <v>101</v>
      </c>
      <c r="B44" s="4">
        <v>46082</v>
      </c>
      <c r="C44" t="s">
        <v>40</v>
      </c>
      <c r="D44" t="s">
        <v>48</v>
      </c>
      <c r="E44" t="s">
        <v>58</v>
      </c>
      <c r="F44" t="s">
        <v>43</v>
      </c>
      <c r="G44">
        <v>13</v>
      </c>
      <c r="H44" s="5">
        <v>27000</v>
      </c>
      <c r="I44" s="5">
        <v>351000</v>
      </c>
    </row>
    <row r="45" spans="1:9" x14ac:dyDescent="0.4">
      <c r="A45" t="s">
        <v>102</v>
      </c>
      <c r="B45" s="4">
        <v>46083</v>
      </c>
      <c r="C45" t="s">
        <v>45</v>
      </c>
      <c r="D45" t="s">
        <v>54</v>
      </c>
      <c r="E45" t="s">
        <v>65</v>
      </c>
      <c r="F45" t="s">
        <v>61</v>
      </c>
      <c r="G45">
        <v>2</v>
      </c>
      <c r="H45" s="5">
        <v>1250000</v>
      </c>
      <c r="I45" s="5">
        <v>2500000</v>
      </c>
    </row>
    <row r="46" spans="1:9" x14ac:dyDescent="0.4">
      <c r="A46" t="s">
        <v>103</v>
      </c>
      <c r="B46" s="4">
        <v>46083</v>
      </c>
      <c r="C46" t="s">
        <v>40</v>
      </c>
      <c r="D46" t="s">
        <v>41</v>
      </c>
      <c r="E46" t="s">
        <v>58</v>
      </c>
      <c r="F46" t="s">
        <v>43</v>
      </c>
      <c r="G46">
        <v>30</v>
      </c>
      <c r="H46" s="5">
        <v>27000</v>
      </c>
      <c r="I46" s="5">
        <v>810000</v>
      </c>
    </row>
    <row r="47" spans="1:9" x14ac:dyDescent="0.4">
      <c r="A47" t="s">
        <v>104</v>
      </c>
      <c r="B47" s="4">
        <v>46086</v>
      </c>
      <c r="C47" t="s">
        <v>56</v>
      </c>
      <c r="D47" t="s">
        <v>57</v>
      </c>
      <c r="E47" t="s">
        <v>65</v>
      </c>
      <c r="F47" t="s">
        <v>61</v>
      </c>
      <c r="G47">
        <v>4</v>
      </c>
      <c r="H47" s="5">
        <v>1250000</v>
      </c>
      <c r="I47" s="5">
        <v>5000000</v>
      </c>
    </row>
    <row r="48" spans="1:9" x14ac:dyDescent="0.4">
      <c r="A48" t="s">
        <v>105</v>
      </c>
      <c r="B48" s="4">
        <v>46086</v>
      </c>
      <c r="C48" t="s">
        <v>45</v>
      </c>
      <c r="D48" t="s">
        <v>46</v>
      </c>
      <c r="E48" t="s">
        <v>94</v>
      </c>
      <c r="F48" t="s">
        <v>95</v>
      </c>
      <c r="G48">
        <v>1</v>
      </c>
      <c r="H48" s="5">
        <v>290000</v>
      </c>
      <c r="I48" s="5">
        <v>290000</v>
      </c>
    </row>
    <row r="49" spans="1:9" x14ac:dyDescent="0.4">
      <c r="A49" t="s">
        <v>106</v>
      </c>
      <c r="B49" s="4">
        <v>46088</v>
      </c>
      <c r="C49" t="s">
        <v>56</v>
      </c>
      <c r="D49" t="s">
        <v>57</v>
      </c>
      <c r="E49" t="s">
        <v>94</v>
      </c>
      <c r="F49" t="s">
        <v>95</v>
      </c>
      <c r="G49">
        <v>1</v>
      </c>
      <c r="H49" s="5">
        <v>290000</v>
      </c>
      <c r="I49" s="5">
        <v>290000</v>
      </c>
    </row>
    <row r="50" spans="1:9" x14ac:dyDescent="0.4">
      <c r="A50" t="s">
        <v>107</v>
      </c>
      <c r="B50" s="4">
        <v>46090</v>
      </c>
      <c r="C50" t="s">
        <v>40</v>
      </c>
      <c r="D50" t="s">
        <v>48</v>
      </c>
      <c r="E50" t="s">
        <v>58</v>
      </c>
      <c r="F50" t="s">
        <v>43</v>
      </c>
      <c r="G50">
        <v>8</v>
      </c>
      <c r="H50" s="5">
        <v>27000</v>
      </c>
      <c r="I50" s="5">
        <v>216000</v>
      </c>
    </row>
    <row r="51" spans="1:9" x14ac:dyDescent="0.4">
      <c r="A51" t="s">
        <v>108</v>
      </c>
      <c r="B51" s="4">
        <v>46091</v>
      </c>
      <c r="C51" t="s">
        <v>70</v>
      </c>
      <c r="D51" t="s">
        <v>71</v>
      </c>
      <c r="E51" t="s">
        <v>65</v>
      </c>
      <c r="F51" t="s">
        <v>61</v>
      </c>
      <c r="G51">
        <v>1</v>
      </c>
      <c r="H51" s="5">
        <v>1250000</v>
      </c>
      <c r="I51" s="5">
        <v>1250000</v>
      </c>
    </row>
    <row r="52" spans="1:9" x14ac:dyDescent="0.4">
      <c r="A52" t="s">
        <v>109</v>
      </c>
      <c r="B52" s="4">
        <v>46097</v>
      </c>
      <c r="C52" t="s">
        <v>51</v>
      </c>
      <c r="D52" t="s">
        <v>52</v>
      </c>
      <c r="E52" t="s">
        <v>65</v>
      </c>
      <c r="F52" t="s">
        <v>61</v>
      </c>
      <c r="G52">
        <v>4</v>
      </c>
      <c r="H52" s="5">
        <v>1250000</v>
      </c>
      <c r="I52" s="5">
        <v>5000000</v>
      </c>
    </row>
    <row r="53" spans="1:9" x14ac:dyDescent="0.4">
      <c r="A53" t="s">
        <v>110</v>
      </c>
      <c r="B53" s="4">
        <v>46101</v>
      </c>
      <c r="C53" t="s">
        <v>51</v>
      </c>
      <c r="D53" t="s">
        <v>52</v>
      </c>
      <c r="E53" t="s">
        <v>42</v>
      </c>
      <c r="F53" t="s">
        <v>43</v>
      </c>
      <c r="G53">
        <v>14</v>
      </c>
      <c r="H53" s="5">
        <v>48000</v>
      </c>
      <c r="I53" s="5">
        <v>672000</v>
      </c>
    </row>
    <row r="54" spans="1:9" x14ac:dyDescent="0.4">
      <c r="A54" t="s">
        <v>111</v>
      </c>
      <c r="B54" s="4">
        <v>46106</v>
      </c>
      <c r="C54" t="s">
        <v>56</v>
      </c>
      <c r="D54" t="s">
        <v>57</v>
      </c>
      <c r="E54" t="s">
        <v>60</v>
      </c>
      <c r="F54" t="s">
        <v>61</v>
      </c>
      <c r="G54">
        <v>1</v>
      </c>
      <c r="H54" s="5">
        <v>330000</v>
      </c>
      <c r="I54" s="5">
        <v>330000</v>
      </c>
    </row>
    <row r="55" spans="1:9" x14ac:dyDescent="0.4">
      <c r="A55" t="s">
        <v>112</v>
      </c>
      <c r="B55" s="4">
        <v>46107</v>
      </c>
      <c r="C55" t="s">
        <v>51</v>
      </c>
      <c r="D55" t="s">
        <v>52</v>
      </c>
      <c r="E55" t="s">
        <v>42</v>
      </c>
      <c r="F55" t="s">
        <v>43</v>
      </c>
      <c r="G55">
        <v>17</v>
      </c>
      <c r="H55" s="5">
        <v>48000</v>
      </c>
      <c r="I55" s="5">
        <v>816000</v>
      </c>
    </row>
    <row r="56" spans="1:9" x14ac:dyDescent="0.4">
      <c r="A56" t="s">
        <v>113</v>
      </c>
      <c r="B56" s="4">
        <v>46107</v>
      </c>
      <c r="C56" t="s">
        <v>51</v>
      </c>
      <c r="D56" t="s">
        <v>52</v>
      </c>
      <c r="E56" t="s">
        <v>42</v>
      </c>
      <c r="F56" t="s">
        <v>43</v>
      </c>
      <c r="G56">
        <v>18</v>
      </c>
      <c r="H56" s="5">
        <v>48000</v>
      </c>
      <c r="I56" s="5">
        <v>864000</v>
      </c>
    </row>
    <row r="57" spans="1:9" x14ac:dyDescent="0.4">
      <c r="A57" t="s">
        <v>114</v>
      </c>
      <c r="B57" s="4">
        <v>46110</v>
      </c>
      <c r="C57" t="s">
        <v>45</v>
      </c>
      <c r="D57" t="s">
        <v>46</v>
      </c>
      <c r="E57" t="s">
        <v>42</v>
      </c>
      <c r="F57" t="s">
        <v>43</v>
      </c>
      <c r="G57">
        <v>2</v>
      </c>
      <c r="H57" s="5">
        <v>48000</v>
      </c>
      <c r="I57" s="5">
        <v>96000</v>
      </c>
    </row>
    <row r="58" spans="1:9" x14ac:dyDescent="0.4">
      <c r="A58" t="s">
        <v>115</v>
      </c>
      <c r="B58" s="4">
        <v>46111</v>
      </c>
      <c r="C58" t="s">
        <v>45</v>
      </c>
      <c r="D58" t="s">
        <v>54</v>
      </c>
      <c r="E58" t="s">
        <v>42</v>
      </c>
      <c r="F58" t="s">
        <v>43</v>
      </c>
      <c r="G58">
        <v>3</v>
      </c>
      <c r="H58" s="5">
        <v>48000</v>
      </c>
      <c r="I58" s="5">
        <v>144000</v>
      </c>
    </row>
    <row r="59" spans="1:9" x14ac:dyDescent="0.4">
      <c r="A59" t="s">
        <v>116</v>
      </c>
      <c r="B59" s="4">
        <v>46111</v>
      </c>
      <c r="C59" t="s">
        <v>70</v>
      </c>
      <c r="D59" t="s">
        <v>71</v>
      </c>
      <c r="E59" t="s">
        <v>42</v>
      </c>
      <c r="F59" t="s">
        <v>43</v>
      </c>
      <c r="G59">
        <v>7</v>
      </c>
      <c r="H59" s="5">
        <v>48000</v>
      </c>
      <c r="I59" s="5">
        <v>336000</v>
      </c>
    </row>
    <row r="60" spans="1:9" x14ac:dyDescent="0.4">
      <c r="A60" t="s">
        <v>117</v>
      </c>
      <c r="B60" s="4">
        <v>46112</v>
      </c>
      <c r="C60" t="s">
        <v>51</v>
      </c>
      <c r="D60" t="s">
        <v>52</v>
      </c>
      <c r="E60" t="s">
        <v>42</v>
      </c>
      <c r="F60" t="s">
        <v>43</v>
      </c>
      <c r="G60">
        <v>5</v>
      </c>
      <c r="H60" s="5">
        <v>48000</v>
      </c>
      <c r="I60" s="5">
        <v>240000</v>
      </c>
    </row>
    <row r="61" spans="1:9" x14ac:dyDescent="0.4">
      <c r="A61" t="s">
        <v>118</v>
      </c>
      <c r="B61" s="4">
        <v>46112</v>
      </c>
      <c r="C61" t="s">
        <v>70</v>
      </c>
      <c r="D61" t="s">
        <v>71</v>
      </c>
      <c r="E61" t="s">
        <v>94</v>
      </c>
      <c r="F61" t="s">
        <v>95</v>
      </c>
      <c r="G61">
        <v>1</v>
      </c>
      <c r="H61" s="5">
        <v>290000</v>
      </c>
      <c r="I61" s="5">
        <v>290000</v>
      </c>
    </row>
    <row r="62" spans="1:9" x14ac:dyDescent="0.4">
      <c r="A62" t="s">
        <v>119</v>
      </c>
      <c r="B62" s="4">
        <v>46112</v>
      </c>
      <c r="C62" t="s">
        <v>56</v>
      </c>
      <c r="D62" t="s">
        <v>57</v>
      </c>
      <c r="E62" t="s">
        <v>58</v>
      </c>
      <c r="F62" t="s">
        <v>43</v>
      </c>
      <c r="G62">
        <v>5</v>
      </c>
      <c r="H62" s="5">
        <v>27000</v>
      </c>
      <c r="I62" s="5">
        <v>135000</v>
      </c>
    </row>
    <row r="63" spans="1:9" x14ac:dyDescent="0.4">
      <c r="A63" t="s">
        <v>120</v>
      </c>
      <c r="B63" s="4">
        <v>46115</v>
      </c>
      <c r="C63" t="s">
        <v>45</v>
      </c>
      <c r="D63" t="s">
        <v>46</v>
      </c>
      <c r="E63" t="s">
        <v>58</v>
      </c>
      <c r="F63" t="s">
        <v>43</v>
      </c>
      <c r="G63">
        <v>6</v>
      </c>
      <c r="H63" s="5">
        <v>27000</v>
      </c>
      <c r="I63" s="5">
        <v>162000</v>
      </c>
    </row>
    <row r="64" spans="1:9" x14ac:dyDescent="0.4">
      <c r="A64" t="s">
        <v>121</v>
      </c>
      <c r="B64" s="4">
        <v>46116</v>
      </c>
      <c r="C64" t="s">
        <v>45</v>
      </c>
      <c r="D64" t="s">
        <v>54</v>
      </c>
      <c r="E64" t="s">
        <v>58</v>
      </c>
      <c r="F64" t="s">
        <v>43</v>
      </c>
      <c r="G64">
        <v>20</v>
      </c>
      <c r="H64" s="5">
        <v>27000</v>
      </c>
      <c r="I64" s="5">
        <v>540000</v>
      </c>
    </row>
    <row r="65" spans="1:9" x14ac:dyDescent="0.4">
      <c r="A65" t="s">
        <v>122</v>
      </c>
      <c r="B65" s="4">
        <v>46117</v>
      </c>
      <c r="C65" t="s">
        <v>45</v>
      </c>
      <c r="D65" t="s">
        <v>54</v>
      </c>
      <c r="E65" t="s">
        <v>65</v>
      </c>
      <c r="F65" t="s">
        <v>61</v>
      </c>
      <c r="G65">
        <v>4</v>
      </c>
      <c r="H65" s="5">
        <v>1250000</v>
      </c>
      <c r="I65" s="5">
        <v>5000000</v>
      </c>
    </row>
    <row r="66" spans="1:9" x14ac:dyDescent="0.4">
      <c r="A66" t="s">
        <v>123</v>
      </c>
      <c r="B66" s="4">
        <v>46120</v>
      </c>
      <c r="C66" t="s">
        <v>70</v>
      </c>
      <c r="D66" t="s">
        <v>71</v>
      </c>
      <c r="E66" t="s">
        <v>42</v>
      </c>
      <c r="F66" t="s">
        <v>43</v>
      </c>
      <c r="G66">
        <v>2</v>
      </c>
      <c r="H66" s="5">
        <v>48000</v>
      </c>
      <c r="I66" s="5">
        <v>96000</v>
      </c>
    </row>
    <row r="67" spans="1:9" x14ac:dyDescent="0.4">
      <c r="A67" t="s">
        <v>124</v>
      </c>
      <c r="B67" s="4">
        <v>46122</v>
      </c>
      <c r="C67" t="s">
        <v>56</v>
      </c>
      <c r="D67" t="s">
        <v>57</v>
      </c>
      <c r="E67" t="s">
        <v>60</v>
      </c>
      <c r="F67" t="s">
        <v>61</v>
      </c>
      <c r="G67">
        <v>8</v>
      </c>
      <c r="H67" s="5">
        <v>330000</v>
      </c>
      <c r="I67" s="5">
        <v>2640000</v>
      </c>
    </row>
    <row r="68" spans="1:9" x14ac:dyDescent="0.4">
      <c r="A68" t="s">
        <v>125</v>
      </c>
      <c r="B68" s="4">
        <v>46125</v>
      </c>
      <c r="C68" t="s">
        <v>40</v>
      </c>
      <c r="D68" t="s">
        <v>41</v>
      </c>
      <c r="E68" t="s">
        <v>58</v>
      </c>
      <c r="F68" t="s">
        <v>43</v>
      </c>
      <c r="G68">
        <v>10</v>
      </c>
      <c r="H68" s="5">
        <v>27000</v>
      </c>
      <c r="I68" s="5">
        <v>270000</v>
      </c>
    </row>
    <row r="69" spans="1:9" x14ac:dyDescent="0.4">
      <c r="A69" t="s">
        <v>126</v>
      </c>
      <c r="B69" s="4">
        <v>46125</v>
      </c>
      <c r="C69" t="s">
        <v>56</v>
      </c>
      <c r="D69" t="s">
        <v>57</v>
      </c>
      <c r="E69" t="s">
        <v>65</v>
      </c>
      <c r="F69" t="s">
        <v>61</v>
      </c>
      <c r="G69">
        <v>2</v>
      </c>
      <c r="H69" s="5">
        <v>1250000</v>
      </c>
      <c r="I69" s="5">
        <v>2500000</v>
      </c>
    </row>
    <row r="70" spans="1:9" x14ac:dyDescent="0.4">
      <c r="A70" t="s">
        <v>127</v>
      </c>
      <c r="B70" s="4">
        <v>46126</v>
      </c>
      <c r="C70" t="s">
        <v>51</v>
      </c>
      <c r="D70" t="s">
        <v>52</v>
      </c>
      <c r="E70" t="s">
        <v>60</v>
      </c>
      <c r="F70" t="s">
        <v>61</v>
      </c>
      <c r="G70">
        <v>8</v>
      </c>
      <c r="H70" s="5">
        <v>330000</v>
      </c>
      <c r="I70" s="5">
        <v>2640000</v>
      </c>
    </row>
    <row r="71" spans="1:9" x14ac:dyDescent="0.4">
      <c r="A71" t="s">
        <v>128</v>
      </c>
      <c r="B71" s="4">
        <v>46131</v>
      </c>
      <c r="C71" t="s">
        <v>45</v>
      </c>
      <c r="D71" t="s">
        <v>54</v>
      </c>
      <c r="E71" t="s">
        <v>65</v>
      </c>
      <c r="F71" t="s">
        <v>61</v>
      </c>
      <c r="G71">
        <v>3</v>
      </c>
      <c r="H71" s="5">
        <v>1250000</v>
      </c>
      <c r="I71" s="5">
        <v>3750000</v>
      </c>
    </row>
    <row r="72" spans="1:9" x14ac:dyDescent="0.4">
      <c r="A72" t="s">
        <v>129</v>
      </c>
      <c r="B72" s="4">
        <v>46134</v>
      </c>
      <c r="C72" t="s">
        <v>56</v>
      </c>
      <c r="D72" t="s">
        <v>57</v>
      </c>
      <c r="E72" t="s">
        <v>42</v>
      </c>
      <c r="F72" t="s">
        <v>43</v>
      </c>
      <c r="G72">
        <v>15</v>
      </c>
      <c r="H72" s="5">
        <v>48000</v>
      </c>
      <c r="I72" s="5">
        <v>720000</v>
      </c>
    </row>
    <row r="73" spans="1:9" x14ac:dyDescent="0.4">
      <c r="A73" t="s">
        <v>130</v>
      </c>
      <c r="B73" s="4">
        <v>46138</v>
      </c>
      <c r="C73" t="s">
        <v>45</v>
      </c>
      <c r="D73" t="s">
        <v>46</v>
      </c>
      <c r="E73" t="s">
        <v>65</v>
      </c>
      <c r="F73" t="s">
        <v>61</v>
      </c>
      <c r="G73">
        <v>4</v>
      </c>
      <c r="H73" s="5">
        <v>1250000</v>
      </c>
      <c r="I73" s="5">
        <v>5000000</v>
      </c>
    </row>
    <row r="74" spans="1:9" x14ac:dyDescent="0.4">
      <c r="A74" t="s">
        <v>131</v>
      </c>
      <c r="B74" s="4">
        <v>46138</v>
      </c>
      <c r="C74" t="s">
        <v>45</v>
      </c>
      <c r="D74" t="s">
        <v>46</v>
      </c>
      <c r="E74" t="s">
        <v>60</v>
      </c>
      <c r="F74" t="s">
        <v>61</v>
      </c>
      <c r="G74">
        <v>6</v>
      </c>
      <c r="H74" s="5">
        <v>330000</v>
      </c>
      <c r="I74" s="5">
        <v>1980000</v>
      </c>
    </row>
    <row r="75" spans="1:9" x14ac:dyDescent="0.4">
      <c r="A75" t="s">
        <v>132</v>
      </c>
      <c r="B75" s="4">
        <v>46140</v>
      </c>
      <c r="C75" t="s">
        <v>45</v>
      </c>
      <c r="D75" t="s">
        <v>46</v>
      </c>
      <c r="E75" t="s">
        <v>94</v>
      </c>
      <c r="F75" t="s">
        <v>95</v>
      </c>
      <c r="G75">
        <v>2</v>
      </c>
      <c r="H75" s="5">
        <v>290000</v>
      </c>
      <c r="I75" s="5">
        <v>580000</v>
      </c>
    </row>
    <row r="76" spans="1:9" x14ac:dyDescent="0.4">
      <c r="A76" t="s">
        <v>133</v>
      </c>
      <c r="B76" s="4">
        <v>46141</v>
      </c>
      <c r="C76" t="s">
        <v>51</v>
      </c>
      <c r="D76" t="s">
        <v>52</v>
      </c>
      <c r="E76" t="s">
        <v>58</v>
      </c>
      <c r="F76" t="s">
        <v>43</v>
      </c>
      <c r="G76">
        <v>38</v>
      </c>
      <c r="H76" s="5">
        <v>27000</v>
      </c>
      <c r="I76" s="5">
        <v>1026000</v>
      </c>
    </row>
    <row r="77" spans="1:9" x14ac:dyDescent="0.4">
      <c r="A77" t="s">
        <v>134</v>
      </c>
      <c r="B77" s="4">
        <v>46143</v>
      </c>
      <c r="C77" t="s">
        <v>40</v>
      </c>
      <c r="D77" t="s">
        <v>41</v>
      </c>
      <c r="E77" t="s">
        <v>60</v>
      </c>
      <c r="F77" t="s">
        <v>61</v>
      </c>
      <c r="G77">
        <v>3</v>
      </c>
      <c r="H77" s="5">
        <v>330000</v>
      </c>
      <c r="I77" s="5">
        <v>990000</v>
      </c>
    </row>
    <row r="78" spans="1:9" x14ac:dyDescent="0.4">
      <c r="A78" t="s">
        <v>135</v>
      </c>
      <c r="B78" s="4">
        <v>46143</v>
      </c>
      <c r="C78" t="s">
        <v>40</v>
      </c>
      <c r="D78" t="s">
        <v>48</v>
      </c>
      <c r="E78" t="s">
        <v>65</v>
      </c>
      <c r="F78" t="s">
        <v>61</v>
      </c>
      <c r="G78">
        <v>2</v>
      </c>
      <c r="H78" s="5">
        <v>1250000</v>
      </c>
      <c r="I78" s="5">
        <v>2500000</v>
      </c>
    </row>
    <row r="79" spans="1:9" x14ac:dyDescent="0.4">
      <c r="A79" t="s">
        <v>136</v>
      </c>
      <c r="B79" s="4">
        <v>46146</v>
      </c>
      <c r="C79" t="s">
        <v>56</v>
      </c>
      <c r="D79" t="s">
        <v>57</v>
      </c>
      <c r="E79" t="s">
        <v>60</v>
      </c>
      <c r="F79" t="s">
        <v>61</v>
      </c>
      <c r="G79">
        <v>1</v>
      </c>
      <c r="H79" s="5">
        <v>330000</v>
      </c>
      <c r="I79" s="5">
        <v>330000</v>
      </c>
    </row>
    <row r="80" spans="1:9" x14ac:dyDescent="0.4">
      <c r="A80" t="s">
        <v>137</v>
      </c>
      <c r="B80" s="4">
        <v>46149</v>
      </c>
      <c r="C80" t="s">
        <v>45</v>
      </c>
      <c r="D80" t="s">
        <v>54</v>
      </c>
      <c r="E80" t="s">
        <v>42</v>
      </c>
      <c r="F80" t="s">
        <v>43</v>
      </c>
      <c r="G80">
        <v>4</v>
      </c>
      <c r="H80" s="5">
        <v>48000</v>
      </c>
      <c r="I80" s="5">
        <v>192000</v>
      </c>
    </row>
    <row r="81" spans="1:9" x14ac:dyDescent="0.4">
      <c r="A81" t="s">
        <v>138</v>
      </c>
      <c r="B81" s="4">
        <v>46150</v>
      </c>
      <c r="C81" t="s">
        <v>45</v>
      </c>
      <c r="D81" t="s">
        <v>54</v>
      </c>
      <c r="E81" t="s">
        <v>58</v>
      </c>
      <c r="F81" t="s">
        <v>43</v>
      </c>
      <c r="G81">
        <v>14</v>
      </c>
      <c r="H81" s="5">
        <v>27000</v>
      </c>
      <c r="I81" s="5">
        <v>378000</v>
      </c>
    </row>
    <row r="82" spans="1:9" x14ac:dyDescent="0.4">
      <c r="A82" t="s">
        <v>139</v>
      </c>
      <c r="B82" s="4">
        <v>46152</v>
      </c>
      <c r="C82" t="s">
        <v>45</v>
      </c>
      <c r="D82" t="s">
        <v>46</v>
      </c>
      <c r="E82" t="s">
        <v>65</v>
      </c>
      <c r="F82" t="s">
        <v>61</v>
      </c>
      <c r="G82">
        <v>1</v>
      </c>
      <c r="H82" s="5">
        <v>1250000</v>
      </c>
      <c r="I82" s="5">
        <v>1250000</v>
      </c>
    </row>
    <row r="83" spans="1:9" x14ac:dyDescent="0.4">
      <c r="A83" t="s">
        <v>140</v>
      </c>
      <c r="B83" s="4">
        <v>46152</v>
      </c>
      <c r="C83" t="s">
        <v>51</v>
      </c>
      <c r="D83" t="s">
        <v>52</v>
      </c>
      <c r="E83" t="s">
        <v>60</v>
      </c>
      <c r="F83" t="s">
        <v>61</v>
      </c>
      <c r="G83">
        <v>1</v>
      </c>
      <c r="H83" s="5">
        <v>330000</v>
      </c>
      <c r="I83" s="5">
        <v>330000</v>
      </c>
    </row>
    <row r="84" spans="1:9" x14ac:dyDescent="0.4">
      <c r="A84" t="s">
        <v>141</v>
      </c>
      <c r="B84" s="4">
        <v>46153</v>
      </c>
      <c r="C84" t="s">
        <v>40</v>
      </c>
      <c r="D84" t="s">
        <v>48</v>
      </c>
      <c r="E84" t="s">
        <v>65</v>
      </c>
      <c r="F84" t="s">
        <v>61</v>
      </c>
      <c r="G84">
        <v>1</v>
      </c>
      <c r="H84" s="5">
        <v>1250000</v>
      </c>
      <c r="I84" s="5">
        <v>1250000</v>
      </c>
    </row>
    <row r="85" spans="1:9" x14ac:dyDescent="0.4">
      <c r="A85" t="s">
        <v>142</v>
      </c>
      <c r="B85" s="4">
        <v>46153</v>
      </c>
      <c r="C85" t="s">
        <v>56</v>
      </c>
      <c r="D85" t="s">
        <v>57</v>
      </c>
      <c r="E85" t="s">
        <v>42</v>
      </c>
      <c r="F85" t="s">
        <v>43</v>
      </c>
      <c r="G85">
        <v>10</v>
      </c>
      <c r="H85" s="5">
        <v>48000</v>
      </c>
      <c r="I85" s="5">
        <v>480000</v>
      </c>
    </row>
    <row r="86" spans="1:9" x14ac:dyDescent="0.4">
      <c r="A86" t="s">
        <v>143</v>
      </c>
      <c r="B86" s="4">
        <v>46155</v>
      </c>
      <c r="C86" t="s">
        <v>51</v>
      </c>
      <c r="D86" t="s">
        <v>52</v>
      </c>
      <c r="E86" t="s">
        <v>58</v>
      </c>
      <c r="F86" t="s">
        <v>43</v>
      </c>
      <c r="G86">
        <v>37</v>
      </c>
      <c r="H86" s="5">
        <v>27000</v>
      </c>
      <c r="I86" s="5">
        <v>999000</v>
      </c>
    </row>
    <row r="87" spans="1:9" x14ac:dyDescent="0.4">
      <c r="A87" t="s">
        <v>144</v>
      </c>
      <c r="B87" s="4">
        <v>46156</v>
      </c>
      <c r="C87" t="s">
        <v>40</v>
      </c>
      <c r="D87" t="s">
        <v>48</v>
      </c>
      <c r="E87" t="s">
        <v>65</v>
      </c>
      <c r="F87" t="s">
        <v>61</v>
      </c>
      <c r="G87">
        <v>2</v>
      </c>
      <c r="H87" s="5">
        <v>1250000</v>
      </c>
      <c r="I87" s="5">
        <v>2500000</v>
      </c>
    </row>
    <row r="88" spans="1:9" x14ac:dyDescent="0.4">
      <c r="A88" t="s">
        <v>145</v>
      </c>
      <c r="B88" s="4">
        <v>46156</v>
      </c>
      <c r="C88" t="s">
        <v>51</v>
      </c>
      <c r="D88" t="s">
        <v>52</v>
      </c>
      <c r="E88" t="s">
        <v>42</v>
      </c>
      <c r="F88" t="s">
        <v>43</v>
      </c>
      <c r="G88">
        <v>4</v>
      </c>
      <c r="H88" s="5">
        <v>48000</v>
      </c>
      <c r="I88" s="5">
        <v>192000</v>
      </c>
    </row>
    <row r="89" spans="1:9" x14ac:dyDescent="0.4">
      <c r="A89" t="s">
        <v>146</v>
      </c>
      <c r="B89" s="4">
        <v>46158</v>
      </c>
      <c r="C89" t="s">
        <v>70</v>
      </c>
      <c r="D89" t="s">
        <v>71</v>
      </c>
      <c r="E89" t="s">
        <v>65</v>
      </c>
      <c r="F89" t="s">
        <v>61</v>
      </c>
      <c r="G89">
        <v>2</v>
      </c>
      <c r="H89" s="5">
        <v>1250000</v>
      </c>
      <c r="I89" s="5">
        <v>2500000</v>
      </c>
    </row>
    <row r="90" spans="1:9" x14ac:dyDescent="0.4">
      <c r="A90" t="s">
        <v>147</v>
      </c>
      <c r="B90" s="4">
        <v>46158</v>
      </c>
      <c r="C90" t="s">
        <v>70</v>
      </c>
      <c r="D90" t="s">
        <v>71</v>
      </c>
      <c r="E90" t="s">
        <v>42</v>
      </c>
      <c r="F90" t="s">
        <v>43</v>
      </c>
      <c r="G90">
        <v>2</v>
      </c>
      <c r="H90" s="5">
        <v>48000</v>
      </c>
      <c r="I90" s="5">
        <v>96000</v>
      </c>
    </row>
    <row r="91" spans="1:9" x14ac:dyDescent="0.4">
      <c r="A91" t="s">
        <v>148</v>
      </c>
      <c r="B91" s="4">
        <v>46159</v>
      </c>
      <c r="C91" t="s">
        <v>45</v>
      </c>
      <c r="D91" t="s">
        <v>46</v>
      </c>
      <c r="E91" t="s">
        <v>58</v>
      </c>
      <c r="F91" t="s">
        <v>43</v>
      </c>
      <c r="G91">
        <v>10</v>
      </c>
      <c r="H91" s="5">
        <v>27000</v>
      </c>
      <c r="I91" s="5">
        <v>270000</v>
      </c>
    </row>
    <row r="92" spans="1:9" x14ac:dyDescent="0.4">
      <c r="A92" t="s">
        <v>149</v>
      </c>
      <c r="B92" s="4">
        <v>46159</v>
      </c>
      <c r="C92" t="s">
        <v>70</v>
      </c>
      <c r="D92" t="s">
        <v>71</v>
      </c>
      <c r="E92" t="s">
        <v>60</v>
      </c>
      <c r="F92" t="s">
        <v>61</v>
      </c>
      <c r="G92">
        <v>3</v>
      </c>
      <c r="H92" s="5">
        <v>330000</v>
      </c>
      <c r="I92" s="5">
        <v>990000</v>
      </c>
    </row>
    <row r="93" spans="1:9" x14ac:dyDescent="0.4">
      <c r="A93" t="s">
        <v>150</v>
      </c>
      <c r="B93" s="4">
        <v>46161</v>
      </c>
      <c r="C93" t="s">
        <v>45</v>
      </c>
      <c r="D93" t="s">
        <v>54</v>
      </c>
      <c r="E93" t="s">
        <v>42</v>
      </c>
      <c r="F93" t="s">
        <v>43</v>
      </c>
      <c r="G93">
        <v>18</v>
      </c>
      <c r="H93" s="5">
        <v>48000</v>
      </c>
      <c r="I93" s="5">
        <v>864000</v>
      </c>
    </row>
    <row r="94" spans="1:9" x14ac:dyDescent="0.4">
      <c r="A94" t="s">
        <v>151</v>
      </c>
      <c r="B94" s="4">
        <v>46163</v>
      </c>
      <c r="C94" t="s">
        <v>70</v>
      </c>
      <c r="D94" t="s">
        <v>71</v>
      </c>
      <c r="E94" t="s">
        <v>60</v>
      </c>
      <c r="F94" t="s">
        <v>61</v>
      </c>
      <c r="G94">
        <v>5</v>
      </c>
      <c r="H94" s="5">
        <v>330000</v>
      </c>
      <c r="I94" s="5">
        <v>1650000</v>
      </c>
    </row>
    <row r="95" spans="1:9" x14ac:dyDescent="0.4">
      <c r="A95" t="s">
        <v>152</v>
      </c>
      <c r="B95" s="4">
        <v>46164</v>
      </c>
      <c r="C95" t="s">
        <v>51</v>
      </c>
      <c r="D95" t="s">
        <v>52</v>
      </c>
      <c r="E95" t="s">
        <v>42</v>
      </c>
      <c r="F95" t="s">
        <v>43</v>
      </c>
      <c r="G95">
        <v>8</v>
      </c>
      <c r="H95" s="5">
        <v>48000</v>
      </c>
      <c r="I95" s="5">
        <v>384000</v>
      </c>
    </row>
    <row r="96" spans="1:9" x14ac:dyDescent="0.4">
      <c r="A96" t="s">
        <v>153</v>
      </c>
      <c r="B96" s="4">
        <v>46164</v>
      </c>
      <c r="C96" t="s">
        <v>45</v>
      </c>
      <c r="D96" t="s">
        <v>46</v>
      </c>
      <c r="E96" t="s">
        <v>42</v>
      </c>
      <c r="F96" t="s">
        <v>43</v>
      </c>
      <c r="G96">
        <v>13</v>
      </c>
      <c r="H96" s="5">
        <v>48000</v>
      </c>
      <c r="I96" s="5">
        <v>624000</v>
      </c>
    </row>
    <row r="97" spans="1:9" x14ac:dyDescent="0.4">
      <c r="A97" t="s">
        <v>154</v>
      </c>
      <c r="B97" s="4">
        <v>46165</v>
      </c>
      <c r="C97" t="s">
        <v>40</v>
      </c>
      <c r="D97" t="s">
        <v>41</v>
      </c>
      <c r="E97" t="s">
        <v>58</v>
      </c>
      <c r="F97" t="s">
        <v>43</v>
      </c>
      <c r="G97">
        <v>12</v>
      </c>
      <c r="H97" s="5">
        <v>27000</v>
      </c>
      <c r="I97" s="5">
        <v>324000</v>
      </c>
    </row>
    <row r="98" spans="1:9" x14ac:dyDescent="0.4">
      <c r="A98" t="s">
        <v>155</v>
      </c>
      <c r="B98" s="4">
        <v>46165</v>
      </c>
      <c r="C98" t="s">
        <v>40</v>
      </c>
      <c r="D98" t="s">
        <v>48</v>
      </c>
      <c r="E98" t="s">
        <v>58</v>
      </c>
      <c r="F98" t="s">
        <v>43</v>
      </c>
      <c r="G98">
        <v>29</v>
      </c>
      <c r="H98" s="5">
        <v>27000</v>
      </c>
      <c r="I98" s="5">
        <v>783000</v>
      </c>
    </row>
    <row r="99" spans="1:9" x14ac:dyDescent="0.4">
      <c r="A99" t="s">
        <v>156</v>
      </c>
      <c r="B99" s="4">
        <v>46166</v>
      </c>
      <c r="C99" t="s">
        <v>40</v>
      </c>
      <c r="D99" t="s">
        <v>48</v>
      </c>
      <c r="E99" t="s">
        <v>58</v>
      </c>
      <c r="F99" t="s">
        <v>43</v>
      </c>
      <c r="G99">
        <v>25</v>
      </c>
      <c r="H99" s="5">
        <v>27000</v>
      </c>
      <c r="I99" s="5">
        <v>675000</v>
      </c>
    </row>
    <row r="100" spans="1:9" x14ac:dyDescent="0.4">
      <c r="A100" t="s">
        <v>157</v>
      </c>
      <c r="B100" s="4">
        <v>46167</v>
      </c>
      <c r="C100" t="s">
        <v>45</v>
      </c>
      <c r="D100" t="s">
        <v>54</v>
      </c>
      <c r="E100" t="s">
        <v>60</v>
      </c>
      <c r="F100" t="s">
        <v>61</v>
      </c>
      <c r="G100">
        <v>1</v>
      </c>
      <c r="H100" s="5">
        <v>330000</v>
      </c>
      <c r="I100" s="5">
        <v>330000</v>
      </c>
    </row>
    <row r="101" spans="1:9" x14ac:dyDescent="0.4">
      <c r="A101" t="s">
        <v>158</v>
      </c>
      <c r="B101" s="4">
        <v>46171</v>
      </c>
      <c r="C101" t="s">
        <v>45</v>
      </c>
      <c r="D101" t="s">
        <v>46</v>
      </c>
      <c r="E101" t="s">
        <v>42</v>
      </c>
      <c r="F101" t="s">
        <v>43</v>
      </c>
      <c r="G101">
        <v>12</v>
      </c>
      <c r="H101" s="5">
        <v>48000</v>
      </c>
      <c r="I101" s="5">
        <v>576000</v>
      </c>
    </row>
    <row r="102" spans="1:9" x14ac:dyDescent="0.4">
      <c r="A102" t="s">
        <v>159</v>
      </c>
      <c r="B102" s="4">
        <v>46178</v>
      </c>
      <c r="C102" t="s">
        <v>70</v>
      </c>
      <c r="D102" t="s">
        <v>71</v>
      </c>
      <c r="E102" t="s">
        <v>42</v>
      </c>
      <c r="F102" t="s">
        <v>43</v>
      </c>
      <c r="G102">
        <v>5</v>
      </c>
      <c r="H102" s="5">
        <v>48000</v>
      </c>
      <c r="I102" s="5">
        <v>240000</v>
      </c>
    </row>
    <row r="103" spans="1:9" x14ac:dyDescent="0.4">
      <c r="A103" t="s">
        <v>160</v>
      </c>
      <c r="B103" s="4">
        <v>46180</v>
      </c>
      <c r="C103" t="s">
        <v>70</v>
      </c>
      <c r="D103" t="s">
        <v>71</v>
      </c>
      <c r="E103" t="s">
        <v>94</v>
      </c>
      <c r="F103" t="s">
        <v>95</v>
      </c>
      <c r="G103">
        <v>3</v>
      </c>
      <c r="H103" s="5">
        <v>290000</v>
      </c>
      <c r="I103" s="5">
        <v>870000</v>
      </c>
    </row>
    <row r="104" spans="1:9" x14ac:dyDescent="0.4">
      <c r="A104" t="s">
        <v>161</v>
      </c>
      <c r="B104" s="4">
        <v>46183</v>
      </c>
      <c r="C104" t="s">
        <v>45</v>
      </c>
      <c r="D104" t="s">
        <v>54</v>
      </c>
      <c r="E104" t="s">
        <v>42</v>
      </c>
      <c r="F104" t="s">
        <v>43</v>
      </c>
      <c r="G104">
        <v>9</v>
      </c>
      <c r="H104" s="5">
        <v>48000</v>
      </c>
      <c r="I104" s="5">
        <v>432000</v>
      </c>
    </row>
    <row r="105" spans="1:9" x14ac:dyDescent="0.4">
      <c r="A105" t="s">
        <v>162</v>
      </c>
      <c r="B105" s="4">
        <v>46184</v>
      </c>
      <c r="C105" t="s">
        <v>70</v>
      </c>
      <c r="D105" t="s">
        <v>71</v>
      </c>
      <c r="E105" t="s">
        <v>60</v>
      </c>
      <c r="F105" t="s">
        <v>61</v>
      </c>
      <c r="G105">
        <v>3</v>
      </c>
      <c r="H105" s="5">
        <v>330000</v>
      </c>
      <c r="I105" s="5">
        <v>990000</v>
      </c>
    </row>
    <row r="106" spans="1:9" x14ac:dyDescent="0.4">
      <c r="A106" t="s">
        <v>163</v>
      </c>
      <c r="B106" s="4">
        <v>46185</v>
      </c>
      <c r="C106" t="s">
        <v>51</v>
      </c>
      <c r="D106" t="s">
        <v>52</v>
      </c>
      <c r="E106" t="s">
        <v>94</v>
      </c>
      <c r="F106" t="s">
        <v>95</v>
      </c>
      <c r="G106">
        <v>3</v>
      </c>
      <c r="H106" s="5">
        <v>290000</v>
      </c>
      <c r="I106" s="5">
        <v>870000</v>
      </c>
    </row>
    <row r="107" spans="1:9" x14ac:dyDescent="0.4">
      <c r="A107" t="s">
        <v>164</v>
      </c>
      <c r="B107" s="4">
        <v>46186</v>
      </c>
      <c r="C107" t="s">
        <v>45</v>
      </c>
      <c r="D107" t="s">
        <v>54</v>
      </c>
      <c r="E107" t="s">
        <v>58</v>
      </c>
      <c r="F107" t="s">
        <v>43</v>
      </c>
      <c r="G107">
        <v>17</v>
      </c>
      <c r="H107" s="5">
        <v>27000</v>
      </c>
      <c r="I107" s="5">
        <v>459000</v>
      </c>
    </row>
    <row r="108" spans="1:9" x14ac:dyDescent="0.4">
      <c r="A108" t="s">
        <v>165</v>
      </c>
      <c r="B108" s="4">
        <v>46190</v>
      </c>
      <c r="C108" t="s">
        <v>56</v>
      </c>
      <c r="D108" t="s">
        <v>57</v>
      </c>
      <c r="E108" t="s">
        <v>42</v>
      </c>
      <c r="F108" t="s">
        <v>43</v>
      </c>
      <c r="G108">
        <v>14</v>
      </c>
      <c r="H108" s="5">
        <v>48000</v>
      </c>
      <c r="I108" s="5">
        <v>672000</v>
      </c>
    </row>
    <row r="109" spans="1:9" x14ac:dyDescent="0.4">
      <c r="A109" t="s">
        <v>166</v>
      </c>
      <c r="B109" s="4">
        <v>46191</v>
      </c>
      <c r="C109" t="s">
        <v>40</v>
      </c>
      <c r="D109" t="s">
        <v>48</v>
      </c>
      <c r="E109" t="s">
        <v>58</v>
      </c>
      <c r="F109" t="s">
        <v>43</v>
      </c>
      <c r="G109">
        <v>12</v>
      </c>
      <c r="H109" s="5">
        <v>27000</v>
      </c>
      <c r="I109" s="5">
        <v>324000</v>
      </c>
    </row>
    <row r="110" spans="1:9" x14ac:dyDescent="0.4">
      <c r="A110" t="s">
        <v>167</v>
      </c>
      <c r="B110" s="4">
        <v>46192</v>
      </c>
      <c r="C110" t="s">
        <v>56</v>
      </c>
      <c r="D110" t="s">
        <v>57</v>
      </c>
      <c r="E110" t="s">
        <v>58</v>
      </c>
      <c r="F110" t="s">
        <v>43</v>
      </c>
      <c r="G110">
        <v>29</v>
      </c>
      <c r="H110" s="5">
        <v>27000</v>
      </c>
      <c r="I110" s="5">
        <v>783000</v>
      </c>
    </row>
    <row r="111" spans="1:9" x14ac:dyDescent="0.4">
      <c r="A111" t="s">
        <v>168</v>
      </c>
      <c r="B111" s="4">
        <v>46192</v>
      </c>
      <c r="C111" t="s">
        <v>40</v>
      </c>
      <c r="D111" t="s">
        <v>48</v>
      </c>
      <c r="E111" t="s">
        <v>58</v>
      </c>
      <c r="F111" t="s">
        <v>43</v>
      </c>
      <c r="G111">
        <v>35</v>
      </c>
      <c r="H111" s="5">
        <v>27000</v>
      </c>
      <c r="I111" s="5">
        <v>945000</v>
      </c>
    </row>
    <row r="112" spans="1:9" x14ac:dyDescent="0.4">
      <c r="A112" t="s">
        <v>169</v>
      </c>
      <c r="B112" s="4">
        <v>46196</v>
      </c>
      <c r="C112" t="s">
        <v>40</v>
      </c>
      <c r="D112" t="s">
        <v>48</v>
      </c>
      <c r="E112" t="s">
        <v>58</v>
      </c>
      <c r="F112" t="s">
        <v>43</v>
      </c>
      <c r="G112">
        <v>23</v>
      </c>
      <c r="H112" s="5">
        <v>27000</v>
      </c>
      <c r="I112" s="5">
        <v>621000</v>
      </c>
    </row>
    <row r="113" spans="1:9" x14ac:dyDescent="0.4">
      <c r="A113" t="s">
        <v>170</v>
      </c>
      <c r="B113" s="4">
        <v>46197</v>
      </c>
      <c r="C113" t="s">
        <v>70</v>
      </c>
      <c r="D113" t="s">
        <v>71</v>
      </c>
      <c r="E113" t="s">
        <v>60</v>
      </c>
      <c r="F113" t="s">
        <v>61</v>
      </c>
      <c r="G113">
        <v>3</v>
      </c>
      <c r="H113" s="5">
        <v>330000</v>
      </c>
      <c r="I113" s="5">
        <v>990000</v>
      </c>
    </row>
    <row r="114" spans="1:9" x14ac:dyDescent="0.4">
      <c r="A114" t="s">
        <v>171</v>
      </c>
      <c r="B114" s="4">
        <v>46198</v>
      </c>
      <c r="C114" t="s">
        <v>40</v>
      </c>
      <c r="D114" t="s">
        <v>48</v>
      </c>
      <c r="E114" t="s">
        <v>58</v>
      </c>
      <c r="F114" t="s">
        <v>43</v>
      </c>
      <c r="G114">
        <v>34</v>
      </c>
      <c r="H114" s="5">
        <v>27000</v>
      </c>
      <c r="I114" s="5">
        <v>918000</v>
      </c>
    </row>
    <row r="115" spans="1:9" x14ac:dyDescent="0.4">
      <c r="A115" t="s">
        <v>172</v>
      </c>
      <c r="B115" s="4">
        <v>46198</v>
      </c>
      <c r="C115" t="s">
        <v>70</v>
      </c>
      <c r="D115" t="s">
        <v>71</v>
      </c>
      <c r="E115" t="s">
        <v>60</v>
      </c>
      <c r="F115" t="s">
        <v>61</v>
      </c>
      <c r="G115">
        <v>7</v>
      </c>
      <c r="H115" s="5">
        <v>330000</v>
      </c>
      <c r="I115" s="5">
        <v>2310000</v>
      </c>
    </row>
    <row r="116" spans="1:9" x14ac:dyDescent="0.4">
      <c r="A116" t="s">
        <v>173</v>
      </c>
      <c r="B116" s="4">
        <v>46201</v>
      </c>
      <c r="C116" t="s">
        <v>40</v>
      </c>
      <c r="D116" t="s">
        <v>41</v>
      </c>
      <c r="E116" t="s">
        <v>42</v>
      </c>
      <c r="F116" t="s">
        <v>43</v>
      </c>
      <c r="G116">
        <v>16</v>
      </c>
      <c r="H116" s="5">
        <v>48000</v>
      </c>
      <c r="I116" s="5">
        <v>768000</v>
      </c>
    </row>
    <row r="117" spans="1:9" x14ac:dyDescent="0.4">
      <c r="A117" t="s">
        <v>174</v>
      </c>
      <c r="B117" s="4">
        <v>46201</v>
      </c>
      <c r="C117" t="s">
        <v>45</v>
      </c>
      <c r="D117" t="s">
        <v>54</v>
      </c>
      <c r="E117" t="s">
        <v>42</v>
      </c>
      <c r="F117" t="s">
        <v>43</v>
      </c>
      <c r="G117">
        <v>17</v>
      </c>
      <c r="H117" s="5">
        <v>48000</v>
      </c>
      <c r="I117" s="5">
        <v>816000</v>
      </c>
    </row>
    <row r="118" spans="1:9" x14ac:dyDescent="0.4">
      <c r="A118" t="s">
        <v>175</v>
      </c>
      <c r="B118" s="4">
        <v>46201</v>
      </c>
      <c r="C118" t="s">
        <v>45</v>
      </c>
      <c r="D118" t="s">
        <v>46</v>
      </c>
      <c r="E118" t="s">
        <v>42</v>
      </c>
      <c r="F118" t="s">
        <v>43</v>
      </c>
      <c r="G118">
        <v>7</v>
      </c>
      <c r="H118" s="5">
        <v>48000</v>
      </c>
      <c r="I118" s="5">
        <v>336000</v>
      </c>
    </row>
    <row r="119" spans="1:9" x14ac:dyDescent="0.4">
      <c r="A119" t="s">
        <v>176</v>
      </c>
      <c r="B119" s="4">
        <v>46202</v>
      </c>
      <c r="C119" t="s">
        <v>40</v>
      </c>
      <c r="D119" t="s">
        <v>41</v>
      </c>
      <c r="E119" t="s">
        <v>58</v>
      </c>
      <c r="F119" t="s">
        <v>43</v>
      </c>
      <c r="G119">
        <v>21</v>
      </c>
      <c r="H119" s="5">
        <v>27000</v>
      </c>
      <c r="I119" s="5">
        <v>567000</v>
      </c>
    </row>
    <row r="120" spans="1:9" x14ac:dyDescent="0.4">
      <c r="A120" t="s">
        <v>177</v>
      </c>
      <c r="B120" s="4">
        <v>46203</v>
      </c>
      <c r="C120" t="s">
        <v>45</v>
      </c>
      <c r="D120" t="s">
        <v>46</v>
      </c>
      <c r="E120" t="s">
        <v>42</v>
      </c>
      <c r="F120" t="s">
        <v>43</v>
      </c>
      <c r="G120">
        <v>16</v>
      </c>
      <c r="H120" s="5">
        <v>48000</v>
      </c>
      <c r="I120" s="5">
        <v>768000</v>
      </c>
    </row>
    <row r="121" spans="1:9" x14ac:dyDescent="0.4">
      <c r="A121" t="s">
        <v>178</v>
      </c>
      <c r="B121" s="4">
        <v>46203</v>
      </c>
      <c r="C121" t="s">
        <v>45</v>
      </c>
      <c r="D121" t="s">
        <v>46</v>
      </c>
      <c r="E121" t="s">
        <v>60</v>
      </c>
      <c r="F121" t="s">
        <v>61</v>
      </c>
      <c r="G121">
        <v>3</v>
      </c>
      <c r="H121" s="5">
        <v>330000</v>
      </c>
      <c r="I121" s="5">
        <v>990000</v>
      </c>
    </row>
  </sheetData>
  <autoFilter ref="A1:I121" xr:uid="{00000000-0009-0000-0000-000001000000}"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C910-3B34-46EE-9C1F-50A7BCF712A7}">
  <dimension ref="A3:E10"/>
  <sheetViews>
    <sheetView tabSelected="1" workbookViewId="0"/>
  </sheetViews>
  <sheetFormatPr defaultRowHeight="17.399999999999999" x14ac:dyDescent="0.4"/>
  <cols>
    <col min="1" max="1" width="12.3984375" bestFit="1" customWidth="1"/>
    <col min="2" max="2" width="11.19921875" bestFit="1" customWidth="1"/>
    <col min="3" max="3" width="10.3984375" bestFit="1" customWidth="1"/>
    <col min="4" max="4" width="9.3984375" bestFit="1" customWidth="1"/>
    <col min="5" max="5" width="10.3984375" bestFit="1" customWidth="1"/>
  </cols>
  <sheetData>
    <row r="3" spans="1:5" x14ac:dyDescent="0.4">
      <c r="A3" s="12" t="s">
        <v>186</v>
      </c>
      <c r="B3" s="12" t="s">
        <v>185</v>
      </c>
    </row>
    <row r="4" spans="1:5" x14ac:dyDescent="0.4">
      <c r="A4" s="12" t="s">
        <v>183</v>
      </c>
      <c r="B4" t="s">
        <v>95</v>
      </c>
      <c r="C4" t="s">
        <v>61</v>
      </c>
      <c r="D4" t="s">
        <v>43</v>
      </c>
      <c r="E4" t="s">
        <v>184</v>
      </c>
    </row>
    <row r="5" spans="1:5" x14ac:dyDescent="0.4">
      <c r="A5" s="13" t="s">
        <v>70</v>
      </c>
      <c r="B5" s="14">
        <v>1160000</v>
      </c>
      <c r="C5" s="14">
        <v>13980000</v>
      </c>
      <c r="D5" s="14">
        <v>768000</v>
      </c>
      <c r="E5" s="14">
        <v>15908000</v>
      </c>
    </row>
    <row r="6" spans="1:5" x14ac:dyDescent="0.4">
      <c r="A6" s="13" t="s">
        <v>51</v>
      </c>
      <c r="B6" s="14">
        <v>1450000</v>
      </c>
      <c r="C6" s="14">
        <v>15560000</v>
      </c>
      <c r="D6" s="14">
        <v>7491000</v>
      </c>
      <c r="E6" s="14">
        <v>24501000</v>
      </c>
    </row>
    <row r="7" spans="1:5" x14ac:dyDescent="0.4">
      <c r="A7" s="13" t="s">
        <v>56</v>
      </c>
      <c r="B7" s="14">
        <v>580000</v>
      </c>
      <c r="C7" s="14">
        <v>31790000</v>
      </c>
      <c r="D7" s="14">
        <v>4503000</v>
      </c>
      <c r="E7" s="14">
        <v>36873000</v>
      </c>
    </row>
    <row r="8" spans="1:5" x14ac:dyDescent="0.4">
      <c r="A8" s="13" t="s">
        <v>40</v>
      </c>
      <c r="B8" s="14"/>
      <c r="C8" s="14">
        <v>13490000</v>
      </c>
      <c r="D8" s="14">
        <v>10668000</v>
      </c>
      <c r="E8" s="14">
        <v>24158000</v>
      </c>
    </row>
    <row r="9" spans="1:5" x14ac:dyDescent="0.4">
      <c r="A9" s="13" t="s">
        <v>45</v>
      </c>
      <c r="B9" s="14">
        <v>870000</v>
      </c>
      <c r="C9" s="14">
        <v>31410000</v>
      </c>
      <c r="D9" s="14">
        <v>9009000</v>
      </c>
      <c r="E9" s="14">
        <v>41289000</v>
      </c>
    </row>
    <row r="10" spans="1:5" x14ac:dyDescent="0.4">
      <c r="A10" s="13" t="s">
        <v>184</v>
      </c>
      <c r="B10" s="14">
        <v>4060000</v>
      </c>
      <c r="C10" s="14">
        <v>106230000</v>
      </c>
      <c r="D10" s="14">
        <v>32439000</v>
      </c>
      <c r="E10" s="14">
        <v>142729000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/>
  </sheetViews>
  <sheetFormatPr defaultRowHeight="17.399999999999999" x14ac:dyDescent="0.4"/>
  <cols>
    <col min="1" max="1" width="24" customWidth="1"/>
    <col min="2" max="7" width="16" customWidth="1"/>
  </cols>
  <sheetData>
    <row r="1" spans="1:6" ht="25.2" x14ac:dyDescent="0.55000000000000004">
      <c r="A1" s="6" t="s">
        <v>0</v>
      </c>
    </row>
    <row r="3" spans="1:6" x14ac:dyDescent="0.4">
      <c r="A3" s="7" t="s">
        <v>6</v>
      </c>
      <c r="B3" s="8">
        <f>SUM(데이터!$I$2:$I$121)</f>
        <v>142729000</v>
      </c>
    </row>
    <row r="4" spans="1:6" x14ac:dyDescent="0.4">
      <c r="A4" s="7" t="s">
        <v>8</v>
      </c>
      <c r="B4" s="8">
        <f>COUNTA(데이터!$A$2:$A$121)</f>
        <v>120</v>
      </c>
    </row>
    <row r="5" spans="1:6" x14ac:dyDescent="0.4">
      <c r="A5" s="7" t="s">
        <v>10</v>
      </c>
      <c r="B5" s="8">
        <f>AVERAGE(데이터!$I$2:$I$121)</f>
        <v>1189408.3333333333</v>
      </c>
    </row>
    <row r="6" spans="1:6" x14ac:dyDescent="0.4">
      <c r="A6" s="7" t="s">
        <v>12</v>
      </c>
      <c r="B6" s="8">
        <f>MAX(데이터!$I$2:$I$121)</f>
        <v>5000000</v>
      </c>
    </row>
    <row r="8" spans="1:6" x14ac:dyDescent="0.4">
      <c r="A8" s="7" t="s">
        <v>32</v>
      </c>
      <c r="B8" s="7" t="s">
        <v>179</v>
      </c>
      <c r="C8" s="7" t="s">
        <v>180</v>
      </c>
      <c r="E8" s="7" t="s">
        <v>181</v>
      </c>
      <c r="F8" s="7" t="s">
        <v>179</v>
      </c>
    </row>
    <row r="9" spans="1:6" x14ac:dyDescent="0.4">
      <c r="A9" s="7" t="s">
        <v>45</v>
      </c>
      <c r="B9" s="8">
        <f>SUMIFS(데이터!$I$2:$I$121,데이터!$C$2:$C$121,A9)</f>
        <v>41289000</v>
      </c>
      <c r="C9" s="9">
        <f>B9/$B$3</f>
        <v>0.28928248639029208</v>
      </c>
      <c r="E9" s="10">
        <v>1</v>
      </c>
      <c r="F9" s="8">
        <f>SUMIFS(데이터!$I$2:$I$121,데이터!$B$2:$B$121,"&gt;="&amp;DATE(2026,E9,1),데이터!$B$2:$B$121,"&lt;"&amp;DATE(2026,E9+1,1))</f>
        <v>27209000</v>
      </c>
    </row>
    <row r="10" spans="1:6" x14ac:dyDescent="0.4">
      <c r="A10" s="7" t="s">
        <v>40</v>
      </c>
      <c r="B10" s="8">
        <f>SUMIFS(데이터!$I$2:$I$121,데이터!$C$2:$C$121,A10)</f>
        <v>24158000</v>
      </c>
      <c r="C10" s="9">
        <f>B10/$B$3</f>
        <v>0.16925782426836872</v>
      </c>
      <c r="E10" s="10">
        <v>2</v>
      </c>
      <c r="F10" s="8">
        <f>SUMIFS(데이터!$I$2:$I$121,데이터!$B$2:$B$121,"&gt;="&amp;DATE(2026,E10,1),데이터!$B$2:$B$121,"&lt;"&amp;DATE(2026,E10+1,1))</f>
        <v>28110000</v>
      </c>
    </row>
    <row r="11" spans="1:6" x14ac:dyDescent="0.4">
      <c r="A11" s="7" t="s">
        <v>51</v>
      </c>
      <c r="B11" s="8">
        <f>SUMIFS(데이터!$I$2:$I$121,데이터!$C$2:$C$121,A11)</f>
        <v>24501000</v>
      </c>
      <c r="C11" s="9">
        <f>B11/$B$3</f>
        <v>0.17166097989896936</v>
      </c>
      <c r="E11" s="10">
        <v>3</v>
      </c>
      <c r="F11" s="8">
        <f>SUMIFS(데이터!$I$2:$I$121,데이터!$B$2:$B$121,"&gt;="&amp;DATE(2026,E11,1),데이터!$B$2:$B$121,"&lt;"&amp;DATE(2026,E11+1,1))</f>
        <v>23380000</v>
      </c>
    </row>
    <row r="12" spans="1:6" x14ac:dyDescent="0.4">
      <c r="A12" s="7" t="s">
        <v>70</v>
      </c>
      <c r="B12" s="8">
        <f>SUMIFS(데이터!$I$2:$I$121,데이터!$C$2:$C$121,A12)</f>
        <v>15908000</v>
      </c>
      <c r="C12" s="9">
        <f>B12/$B$3</f>
        <v>0.11145597601048141</v>
      </c>
      <c r="E12" s="10">
        <v>4</v>
      </c>
      <c r="F12" s="8">
        <f>SUMIFS(데이터!$I$2:$I$121,데이터!$B$2:$B$121,"&gt;="&amp;DATE(2026,E12,1),데이터!$B$2:$B$121,"&lt;"&amp;DATE(2026,E12+1,1))</f>
        <v>26904000</v>
      </c>
    </row>
    <row r="13" spans="1:6" x14ac:dyDescent="0.4">
      <c r="A13" s="7" t="s">
        <v>56</v>
      </c>
      <c r="B13" s="8">
        <f>SUMIFS(데이터!$I$2:$I$121,데이터!$C$2:$C$121,A13)</f>
        <v>36873000</v>
      </c>
      <c r="C13" s="9">
        <f>B13/$B$3</f>
        <v>0.2583427334318884</v>
      </c>
      <c r="E13" s="10">
        <v>5</v>
      </c>
      <c r="F13" s="8">
        <f>SUMIFS(데이터!$I$2:$I$121,데이터!$B$2:$B$121,"&gt;="&amp;DATE(2026,E13,1),데이터!$B$2:$B$121,"&lt;"&amp;DATE(2026,E13+1,1))</f>
        <v>21457000</v>
      </c>
    </row>
    <row r="14" spans="1:6" x14ac:dyDescent="0.4">
      <c r="E14" s="10">
        <v>6</v>
      </c>
      <c r="F14" s="8">
        <f>SUMIFS(데이터!$I$2:$I$121,데이터!$B$2:$B$121,"&gt;="&amp;DATE(2026,E14,1),데이터!$B$2:$B$121,"&lt;"&amp;DATE(2026,E14+1,1))</f>
        <v>15669000</v>
      </c>
    </row>
    <row r="16" spans="1:6" x14ac:dyDescent="0.4">
      <c r="A16" s="7" t="s">
        <v>34</v>
      </c>
      <c r="B16" s="7" t="s">
        <v>182</v>
      </c>
    </row>
    <row r="17" spans="1:2" x14ac:dyDescent="0.4">
      <c r="A17" s="7" t="s">
        <v>65</v>
      </c>
      <c r="B17" s="8">
        <f>SUMIFS(데이터!$G$2:$G$121,데이터!$E$2:$E$121,A17)</f>
        <v>57</v>
      </c>
    </row>
    <row r="18" spans="1:2" x14ac:dyDescent="0.4">
      <c r="A18" s="7" t="s">
        <v>60</v>
      </c>
      <c r="B18" s="8">
        <f>SUMIFS(데이터!$G$2:$G$121,데이터!$E$2:$E$121,A18)</f>
        <v>106</v>
      </c>
    </row>
    <row r="19" spans="1:2" x14ac:dyDescent="0.4">
      <c r="A19" s="7" t="s">
        <v>42</v>
      </c>
      <c r="B19" s="8">
        <f>SUMIFS(데이터!$G$2:$G$121,데이터!$E$2:$E$121,A19)</f>
        <v>385</v>
      </c>
    </row>
    <row r="20" spans="1:2" x14ac:dyDescent="0.4">
      <c r="A20" s="7" t="s">
        <v>58</v>
      </c>
      <c r="B20" s="8">
        <f>SUMIFS(데이터!$G$2:$G$121,데이터!$E$2:$E$121,A20)</f>
        <v>517</v>
      </c>
    </row>
    <row r="21" spans="1:2" x14ac:dyDescent="0.4">
      <c r="A21" s="7" t="s">
        <v>94</v>
      </c>
      <c r="B21" s="8">
        <f>SUMIFS(데이터!$G$2:$G$121,데이터!$E$2:$E$121,A21)</f>
        <v>14</v>
      </c>
    </row>
    <row r="23" spans="1:2" x14ac:dyDescent="0.4">
      <c r="A23" s="7" t="s">
        <v>22</v>
      </c>
      <c r="B23" s="11" t="str">
        <f>INDEX(A17:A21,MATCH(MAX(B17:B21),B17:B21,0))</f>
        <v>마우스</v>
      </c>
    </row>
  </sheetData>
  <phoneticPr fontId="5" type="noConversion"/>
  <conditionalFormatting sqref="B9:B13">
    <cfRule type="dataBar" priority="1">
      <dataBar>
        <cfvo type="min"/>
        <cfvo type="max"/>
        <color rgb="FF5B9BD5"/>
      </dataBar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과제</vt:lpstr>
      <vt:lpstr>데이터</vt:lpstr>
      <vt:lpstr>PV</vt:lpstr>
      <vt:lpstr>대시보드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2026-10-03T08:44:42Z</dcterms:created>
  <dcterms:modified xsi:type="dcterms:W3CDTF">2026-10-03T08:44:50Z</dcterms:modified>
</cp:coreProperties>
</file>