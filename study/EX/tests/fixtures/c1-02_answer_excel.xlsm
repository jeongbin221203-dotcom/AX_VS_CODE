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claude\c--Users-user-AX-VS-CODE-study-EX\a3ebdc17-2d21-4958-a78e-fe5b775786e7\scratchpad\"/>
    </mc:Choice>
  </mc:AlternateContent>
  <xr:revisionPtr revIDLastSave="0" documentId="8_{3D9B1B72-3110-442C-BCC0-AF8A99E73A62}" xr6:coauthVersionLast="36" xr6:coauthVersionMax="36" xr10:uidLastSave="{00000000-0000-0000-0000-000000000000}"/>
  <bookViews>
    <workbookView xWindow="0" yWindow="0" windowWidth="23040" windowHeight="11184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'기본작업-1'!$A$3:$H$18</definedName>
    <definedName name="_xlnm.Criteria" localSheetId="0">'기본작업-1'!$A$21:$A$22</definedName>
    <definedName name="_xlnm.Extract" localSheetId="0">'기본작업-1'!$A$25:$E$25</definedName>
    <definedName name="_xlnm.Print_Area" localSheetId="1">'기본작업-2'!$A$1:$H$43</definedName>
    <definedName name="_xlnm.Print_Titles" localSheetId="1">'기본작업-2'!$3:$3</definedName>
  </definedNames>
  <calcPr calcId="191029"/>
  <pivotCaches>
    <pivotCache cacheId="28" r:id="rId9"/>
  </pivotCaches>
  <extLst>
    <ext xmlns:x15="http://schemas.microsoft.com/office/spreadsheetml/2010/11/main" uri="{FCE2AD5D-F65C-4FA6-A056-5C36A1767C68}">
      <x15:dataModel>
        <x15:modelTables>
          <x15:modelTable id="쿼리_4e5369ed-d17f-4fa3-a905-e47e887b01f3" name="쿼리" connection="렌터카대여"/>
        </x15:modelTables>
      </x15:dataModel>
    </ext>
  </extLst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F11" i="7"/>
  <c r="D48" i="3"/>
  <c r="D49" i="3"/>
  <c r="D50" i="3"/>
  <c r="D51" i="3"/>
  <c r="D52" i="3"/>
  <c r="D53" i="3"/>
  <c r="D54" i="3"/>
  <c r="D55" i="3"/>
  <c r="D56" i="3"/>
  <c r="D57" i="3"/>
  <c r="D36" i="3"/>
  <c r="D37" i="3"/>
  <c r="D38" i="3"/>
  <c r="D39" i="3"/>
  <c r="D40" i="3"/>
  <c r="D41" i="3"/>
  <c r="D42" i="3"/>
  <c r="D43" i="3"/>
  <c r="L32" i="3"/>
  <c r="I7" i="3" a="1"/>
  <c r="I7" i="3" s="1"/>
  <c r="I6" i="3" a="1"/>
  <c r="I6" i="3" s="1"/>
  <c r="I5" i="3" a="1"/>
  <c r="I5" i="3" s="1"/>
  <c r="I4" i="3" a="1"/>
  <c r="I4" i="3" s="1"/>
  <c r="A22" i="1"/>
  <c r="E20" i="3"/>
  <c r="E25" i="3"/>
  <c r="E21" i="3"/>
  <c r="E22" i="3"/>
  <c r="E23" i="3"/>
  <c r="E24" i="3"/>
  <c r="E26" i="3"/>
  <c r="E28" i="3"/>
  <c r="E29" i="3"/>
  <c r="E27" i="3"/>
  <c r="C6" i="5" l="1"/>
  <c r="C8" i="5" s="1"/>
  <c r="B1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6BEB2E-57F6-4B16-A636-78E2BBE1FEFD}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4779D20-0DDA-4413-B3F2-AB40818E67ED}" name="렌터카대여" type="100" refreshedVersion="6" minRefreshableVersion="5">
    <extLst>
      <ext xmlns:x15="http://schemas.microsoft.com/office/spreadsheetml/2010/11/main" uri="{DE250136-89BD-433C-8126-D09CA5730AF9}">
        <x15:connection id="f19c896e-cf80-4fba-bac2-410cf5d80e84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쿼리].[대여경로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<sst xmlns="http://schemas.openxmlformats.org/spreadsheetml/2006/main" count="514" uniqueCount="227">
  <si>
    <t>렌터카 대여 현황</t>
  </si>
  <si>
    <t>대여번호</t>
  </si>
  <si>
    <t>고객명</t>
  </si>
  <si>
    <t>차종</t>
  </si>
  <si>
    <t>지점</t>
  </si>
  <si>
    <t>대여일</t>
  </si>
  <si>
    <t>대여일수</t>
  </si>
  <si>
    <t>일요금</t>
  </si>
  <si>
    <t>대여료</t>
  </si>
  <si>
    <t>R-2601</t>
  </si>
  <si>
    <t>강다온</t>
  </si>
  <si>
    <t>중형</t>
  </si>
  <si>
    <t>강릉</t>
  </si>
  <si>
    <t>R-2602</t>
  </si>
  <si>
    <t>서이준</t>
  </si>
  <si>
    <t>SUV</t>
  </si>
  <si>
    <t>속초</t>
  </si>
  <si>
    <t>R-2603</t>
  </si>
  <si>
    <t>민채아</t>
  </si>
  <si>
    <t>경차</t>
  </si>
  <si>
    <t>R-2604</t>
  </si>
  <si>
    <t>오태경</t>
  </si>
  <si>
    <t>전기차</t>
  </si>
  <si>
    <t>춘천</t>
  </si>
  <si>
    <t>R-2605</t>
  </si>
  <si>
    <t>하연우</t>
  </si>
  <si>
    <t>R-2606</t>
  </si>
  <si>
    <t>권도윤</t>
  </si>
  <si>
    <t>R-2607</t>
  </si>
  <si>
    <t>남궁솔</t>
  </si>
  <si>
    <t>R-2608</t>
  </si>
  <si>
    <t>표시온</t>
  </si>
  <si>
    <t>R-2609</t>
  </si>
  <si>
    <t>진아린</t>
  </si>
  <si>
    <t>R-2610</t>
  </si>
  <si>
    <t>봉지후</t>
  </si>
  <si>
    <t>R-2611</t>
  </si>
  <si>
    <t>탁예린</t>
  </si>
  <si>
    <t>R-2612</t>
  </si>
  <si>
    <t>석하준</t>
  </si>
  <si>
    <t>R-2613</t>
  </si>
  <si>
    <t>육서진</t>
  </si>
  <si>
    <t>R-2614</t>
  </si>
  <si>
    <t>연주원</t>
  </si>
  <si>
    <t>R-2615</t>
  </si>
  <si>
    <t>피은호</t>
  </si>
  <si>
    <t>렌터카 정비 이력</t>
  </si>
  <si>
    <t>정비번호</t>
  </si>
  <si>
    <t>차량번호</t>
  </si>
  <si>
    <t>정비일</t>
  </si>
  <si>
    <t>정비항목</t>
  </si>
  <si>
    <t>부품비</t>
  </si>
  <si>
    <t>공임</t>
  </si>
  <si>
    <t>합계</t>
  </si>
  <si>
    <t>M-301</t>
  </si>
  <si>
    <t>17하8025</t>
  </si>
  <si>
    <t>와이퍼 교체</t>
  </si>
  <si>
    <t>M-302</t>
  </si>
  <si>
    <t>76하3660</t>
  </si>
  <si>
    <t>브레이크 패드</t>
  </si>
  <si>
    <t>M-303</t>
  </si>
  <si>
    <t>76하8820</t>
  </si>
  <si>
    <t>M-304</t>
  </si>
  <si>
    <t>19하3596</t>
  </si>
  <si>
    <t>엔진오일 교환</t>
  </si>
  <si>
    <t>M-305</t>
  </si>
  <si>
    <t>86하4313</t>
  </si>
  <si>
    <t>에어컨 필터</t>
  </si>
  <si>
    <t>M-306</t>
  </si>
  <si>
    <t>19하8115</t>
  </si>
  <si>
    <t>배터리 점검</t>
  </si>
  <si>
    <t>M-307</t>
  </si>
  <si>
    <t>60하9594</t>
  </si>
  <si>
    <t>정기 점검</t>
  </si>
  <si>
    <t>M-308</t>
  </si>
  <si>
    <t>26하5323</t>
  </si>
  <si>
    <t>M-309</t>
  </si>
  <si>
    <t>47하6699</t>
  </si>
  <si>
    <t>M-310</t>
  </si>
  <si>
    <t>33하3276</t>
  </si>
  <si>
    <t>타이어 교체</t>
  </si>
  <si>
    <t>M-311</t>
  </si>
  <si>
    <t>13하2038</t>
  </si>
  <si>
    <t>M-312</t>
  </si>
  <si>
    <t>28하5224</t>
  </si>
  <si>
    <t>M-313</t>
  </si>
  <si>
    <t>15하5578</t>
  </si>
  <si>
    <t>M-314</t>
  </si>
  <si>
    <t>89하6638</t>
  </si>
  <si>
    <t>M-315</t>
  </si>
  <si>
    <t>20하2550</t>
  </si>
  <si>
    <t>M-316</t>
  </si>
  <si>
    <t>37하2694</t>
  </si>
  <si>
    <t>M-331</t>
  </si>
  <si>
    <t>60하7776</t>
  </si>
  <si>
    <t>M-332</t>
  </si>
  <si>
    <t>28하4551</t>
  </si>
  <si>
    <t>M-317</t>
  </si>
  <si>
    <t>72하6826</t>
  </si>
  <si>
    <t>M-333</t>
  </si>
  <si>
    <t>68하3978</t>
  </si>
  <si>
    <t>M-334</t>
  </si>
  <si>
    <t>26하8820</t>
  </si>
  <si>
    <t>M-318</t>
  </si>
  <si>
    <t>26하9706</t>
  </si>
  <si>
    <t>M-335</t>
  </si>
  <si>
    <t>44하4999</t>
  </si>
  <si>
    <t>M-336</t>
  </si>
  <si>
    <t>11하5741</t>
  </si>
  <si>
    <t>M-319</t>
  </si>
  <si>
    <t>86하7391</t>
  </si>
  <si>
    <t>M-337</t>
  </si>
  <si>
    <t>29하7913</t>
  </si>
  <si>
    <t>M-338</t>
  </si>
  <si>
    <t>18하7749</t>
  </si>
  <si>
    <t>M-320</t>
  </si>
  <si>
    <t>34하8586</t>
  </si>
  <si>
    <t>M-339</t>
  </si>
  <si>
    <t>54하5612</t>
  </si>
  <si>
    <t>M-340</t>
  </si>
  <si>
    <t>70하8871</t>
  </si>
  <si>
    <t>M-321</t>
  </si>
  <si>
    <t>22하5825</t>
  </si>
  <si>
    <t>M-322</t>
  </si>
  <si>
    <t>83하7107</t>
  </si>
  <si>
    <t>M-323</t>
  </si>
  <si>
    <t>74하5993</t>
  </si>
  <si>
    <t>M-324</t>
  </si>
  <si>
    <t>65하6673</t>
  </si>
  <si>
    <t>M-325</t>
  </si>
  <si>
    <t>40하2572</t>
  </si>
  <si>
    <t>M-326</t>
  </si>
  <si>
    <t>57하5784</t>
  </si>
  <si>
    <t>M-327</t>
  </si>
  <si>
    <t>59하6494</t>
  </si>
  <si>
    <t>M-328</t>
  </si>
  <si>
    <t>66하2005</t>
  </si>
  <si>
    <t>M-329</t>
  </si>
  <si>
    <t>73하2388</t>
  </si>
  <si>
    <t>M-330</t>
  </si>
  <si>
    <t>90하9011</t>
  </si>
  <si>
    <t>[표1] 차량 대여 내역</t>
  </si>
  <si>
    <t>&lt;차종별 최고 대여료 고객&gt;</t>
  </si>
  <si>
    <t>A-01</t>
  </si>
  <si>
    <t>A-02</t>
  </si>
  <si>
    <t>A-03</t>
  </si>
  <si>
    <t>A-04</t>
  </si>
  <si>
    <t>A-05</t>
  </si>
  <si>
    <t>A-06</t>
  </si>
  <si>
    <t>A-07</t>
  </si>
  <si>
    <t>A-08</t>
  </si>
  <si>
    <t>A-09</t>
  </si>
  <si>
    <t>A-10</t>
  </si>
  <si>
    <t>A-11</t>
  </si>
  <si>
    <t>A-12</t>
  </si>
  <si>
    <t>[표2] 보험료 산출</t>
  </si>
  <si>
    <t>[표3] 지점별 대여 실적</t>
  </si>
  <si>
    <t>&lt;조건&gt;</t>
  </si>
  <si>
    <t>운전경력(년)</t>
  </si>
  <si>
    <t>나이</t>
  </si>
  <si>
    <t>보험료</t>
  </si>
  <si>
    <t>대여경로</t>
  </si>
  <si>
    <t>윤서아</t>
  </si>
  <si>
    <t>앱</t>
  </si>
  <si>
    <t>&gt;=3</t>
  </si>
  <si>
    <t>차민혁</t>
  </si>
  <si>
    <t>전화</t>
  </si>
  <si>
    <t>엄지유</t>
  </si>
  <si>
    <t>방문</t>
  </si>
  <si>
    <t>장도현</t>
  </si>
  <si>
    <t>구하율</t>
  </si>
  <si>
    <t>유채은</t>
  </si>
  <si>
    <t>편승우</t>
  </si>
  <si>
    <t>맹소율</t>
  </si>
  <si>
    <t>기예준</t>
  </si>
  <si>
    <t>국다인</t>
  </si>
  <si>
    <t>강릉 3일 이상 평균</t>
  </si>
  <si>
    <t>[표4] 장기 대여 요금</t>
  </si>
  <si>
    <t>&lt;일 요금표&gt;</t>
  </si>
  <si>
    <t>L-01</t>
  </si>
  <si>
    <t>L-02</t>
  </si>
  <si>
    <t>L-03</t>
  </si>
  <si>
    <t>L-04</t>
  </si>
  <si>
    <t>L-05</t>
  </si>
  <si>
    <t>L-06</t>
  </si>
  <si>
    <t>L-07</t>
  </si>
  <si>
    <t>L-08</t>
  </si>
  <si>
    <t>[표5] 고객 만족도 조사</t>
  </si>
  <si>
    <t>고객번호</t>
  </si>
  <si>
    <t>만족도</t>
  </si>
  <si>
    <t>구분</t>
  </si>
  <si>
    <t>C-101</t>
  </si>
  <si>
    <t>C-102</t>
  </si>
  <si>
    <t>C-103</t>
  </si>
  <si>
    <t>C-104</t>
  </si>
  <si>
    <t>C-105</t>
  </si>
  <si>
    <t>C-106</t>
  </si>
  <si>
    <t>C-107</t>
  </si>
  <si>
    <t>C-108</t>
  </si>
  <si>
    <t>C-109</t>
  </si>
  <si>
    <t>C-110</t>
  </si>
  <si>
    <t>전기차 1대 연간 수익 분석</t>
  </si>
  <si>
    <t>항목</t>
  </si>
  <si>
    <t>값</t>
  </si>
  <si>
    <t>일 대여료</t>
  </si>
  <si>
    <t>연간 대여일수</t>
  </si>
  <si>
    <t>연간 매출</t>
  </si>
  <si>
    <t>연간 유지비</t>
  </si>
  <si>
    <t>연간 순이익</t>
  </si>
  <si>
    <t>&lt;연간 순이익 분석표&gt;</t>
  </si>
  <si>
    <t>연간</t>
  </si>
  <si>
    <t>지점별 차종 매출(단위: 만원)</t>
  </si>
  <si>
    <t>원주</t>
  </si>
  <si>
    <t>동해</t>
  </si>
  <si>
    <t>삼척</t>
  </si>
  <si>
    <t>지점별 분기 매출 실적(단위: 만원)</t>
  </si>
  <si>
    <t>목표</t>
  </si>
  <si>
    <t>1분기</t>
  </si>
  <si>
    <t>2분기</t>
  </si>
  <si>
    <t>3분기</t>
  </si>
  <si>
    <t>달성률</t>
  </si>
  <si>
    <t>양양</t>
  </si>
  <si>
    <t>평창</t>
  </si>
  <si>
    <t>렌터카 대여 등록</t>
  </si>
  <si>
    <t>All</t>
  </si>
  <si>
    <t>평균 : 대여료</t>
  </si>
  <si>
    <t>조건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</si>
</sst>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0&quot;일~&quot;"/>
    <numFmt numFmtId="178" formatCode="0.0%"/>
  </numFmts>
  <fonts count="6" x14ac:knownFonts="1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5"/>
      <name val="맑은 고딕"/>
      <family val="3"/>
      <charset val="129"/>
    </font>
    <font>
      <b/>
      <sz val="13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6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176" fontId="0" fillId="0" borderId="1" xfId="0" applyNumberFormat="1" applyBorder="1"/>
    <xf numFmtId="3" fontId="0" fillId="0" borderId="1" xfId="0" applyNumberFormat="1" applyBorder="1"/>
    <xf numFmtId="0" fontId="1" fillId="0" borderId="1" xfId="0" applyFont="1" applyBorder="1"/>
    <xf numFmtId="177" fontId="1" fillId="0" borderId="1" xfId="0" applyNumberFormat="1" applyFont="1" applyBorder="1"/>
    <xf numFmtId="0" fontId="3" fillId="0" borderId="0" xfId="0" applyFont="1"/>
    <xf numFmtId="0" fontId="1" fillId="0" borderId="0" xfId="0" applyFont="1"/>
    <xf numFmtId="3" fontId="0" fillId="0" borderId="0" xfId="0" applyNumberFormat="1"/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pivotButton="1"/>
    <xf numFmtId="178" fontId="0" fillId="0" borderId="1" xfId="0" applyNumberFormat="1" applyBorder="1"/>
    <xf numFmtId="0" fontId="1" fillId="2" borderId="1" xfId="0" applyFont="1" applyFill="1" applyBorder="1"/>
    <xf numFmtId="0" fontId="5" fillId="0" borderId="0" xfId="0" applyFont="1"/>
    <xf numFmtId="14" fontId="0" fillId="0" borderId="0" xfId="0" applyNumberFormat="1"/>
  </cellXfs>
  <cellStyles count="1">
    <cellStyle name="표준" xfId="0" builtinId="0"/>
  </cellStyles>
  <dxfs count="1">
    <dxf>
      <font>
        <b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지점별 차종 매출 현황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경차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'기타작업-1'!$B$4:$B$9</c:f>
              <c:numCache>
                <c:formatCode>#,##0</c:formatCode>
                <c:ptCount val="6"/>
                <c:pt idx="0">
                  <c:v>820</c:v>
                </c:pt>
                <c:pt idx="1">
                  <c:v>640</c:v>
                </c:pt>
                <c:pt idx="2">
                  <c:v>710</c:v>
                </c:pt>
                <c:pt idx="3">
                  <c:v>580</c:v>
                </c:pt>
                <c:pt idx="4">
                  <c:v>450</c:v>
                </c:pt>
                <c:pt idx="5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11-430B-9427-502F6A088D7C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중형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'기타작업-1'!$C$4:$C$9</c:f>
              <c:numCache>
                <c:formatCode>#,##0</c:formatCode>
                <c:ptCount val="6"/>
                <c:pt idx="0">
                  <c:v>1240</c:v>
                </c:pt>
                <c:pt idx="1">
                  <c:v>980</c:v>
                </c:pt>
                <c:pt idx="2">
                  <c:v>1360</c:v>
                </c:pt>
                <c:pt idx="3">
                  <c:v>1110</c:v>
                </c:pt>
                <c:pt idx="4">
                  <c:v>760</c:v>
                </c:pt>
                <c:pt idx="5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11-430B-9427-502F6A088D7C}"/>
            </c:ext>
          </c:extLst>
        </c:ser>
        <c:ser>
          <c:idx val="2"/>
          <c:order val="2"/>
          <c:tx>
            <c:strRef>
              <c:f>'기타작업-1'!$D$3</c:f>
              <c:strCache>
                <c:ptCount val="1"/>
                <c:pt idx="0">
                  <c:v>SUV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'기타작업-1'!$D$4:$D$9</c:f>
              <c:numCache>
                <c:formatCode>#,##0</c:formatCode>
                <c:ptCount val="6"/>
                <c:pt idx="0">
                  <c:v>1580</c:v>
                </c:pt>
                <c:pt idx="1">
                  <c:v>1720</c:v>
                </c:pt>
                <c:pt idx="2">
                  <c:v>1190</c:v>
                </c:pt>
                <c:pt idx="3">
                  <c:v>1050</c:v>
                </c:pt>
                <c:pt idx="4">
                  <c:v>1310</c:v>
                </c:pt>
                <c:pt idx="5">
                  <c:v>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11-430B-9427-502F6A088D7C}"/>
            </c:ext>
          </c:extLst>
        </c:ser>
        <c:ser>
          <c:idx val="3"/>
          <c:order val="3"/>
          <c:tx>
            <c:strRef>
              <c:f>'기타작업-1'!$E$3</c:f>
              <c:strCache>
                <c:ptCount val="1"/>
                <c:pt idx="0">
                  <c:v>전기차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'기타작업-1'!$A$4:$A$9</c:f>
              <c:strCache>
                <c:ptCount val="6"/>
                <c:pt idx="0">
                  <c:v>강릉</c:v>
                </c:pt>
                <c:pt idx="1">
                  <c:v>속초</c:v>
                </c:pt>
                <c:pt idx="2">
                  <c:v>춘천</c:v>
                </c:pt>
                <c:pt idx="3">
                  <c:v>원주</c:v>
                </c:pt>
                <c:pt idx="4">
                  <c:v>동해</c:v>
                </c:pt>
                <c:pt idx="5">
                  <c:v>삼척</c:v>
                </c:pt>
              </c:strCache>
            </c:strRef>
          </c:cat>
          <c:val>
            <c:numRef>
              <c:f>'기타작업-1'!$E$4:$E$9</c:f>
              <c:numCache>
                <c:formatCode>#,##0</c:formatCode>
                <c:ptCount val="6"/>
                <c:pt idx="0">
                  <c:v>960</c:v>
                </c:pt>
                <c:pt idx="1">
                  <c:v>1130</c:v>
                </c:pt>
                <c:pt idx="2">
                  <c:v>870</c:v>
                </c:pt>
                <c:pt idx="3">
                  <c:v>1240</c:v>
                </c:pt>
                <c:pt idx="4">
                  <c:v>690</c:v>
                </c:pt>
                <c:pt idx="5">
                  <c:v>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11-430B-9427-502F6A088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8006335"/>
        <c:axId val="1810482479"/>
      </c:barChart>
      <c:catAx>
        <c:axId val="1818006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0482479"/>
        <c:crosses val="autoZero"/>
        <c:auto val="1"/>
        <c:lblAlgn val="ctr"/>
        <c:lblOffset val="100"/>
        <c:noMultiLvlLbl val="0"/>
      </c:catAx>
      <c:valAx>
        <c:axId val="1810482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매출</a:t>
                </a:r>
                <a:r>
                  <a:rPr lang="en-US" altLang="ko-KR"/>
                  <a:t>(</a:t>
                </a:r>
                <a:r>
                  <a:rPr lang="ko-KR" altLang="en-US"/>
                  <a:t>만원</a:t>
                </a:r>
                <a:r>
                  <a:rPr lang="en-US" altLang="ko-KR"/>
                  <a:t>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18006335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14</xdr:col>
      <xdr:colOff>0</xdr:colOff>
      <xdr:row>18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F8C91DD-C645-4025-A6ED-3AE8AECA4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93DCE47-2191-408F-ABF7-46D42B157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달성률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12DB450-BC94-43FE-B128-54C21F0EF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049" name="cmd대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6299.961508912034" createdVersion="6" refreshedVersion="6" minRefreshableVersion="3" recordCount="0" supportSubquery="1" supportAdvancedDrill="1" xr:uid="{79E6D960-9460-4CCD-BCF1-F7E0772C2624}">
  <cacheSource type="external" connectionId="1"/>
  <cacheFields count="4">
    <cacheField name="[쿼리].[대여경로].[대여경로]" caption="대여경로" numFmtId="0" hierarchy="3" level="1">
      <sharedItems containsSemiMixedTypes="0" containsNonDate="0" containsString="0"/>
    </cacheField>
    <cacheField name="[쿼리].[지점].[지점]" caption="지점" numFmtId="0" hierarchy="1" level="1">
      <sharedItems count="3">
        <s v="강릉"/>
        <s v="속초"/>
        <s v="춘천"/>
      </sharedItems>
    </cacheField>
    <cacheField name="[쿼리].[차종].[차종]" caption="차종" numFmtId="0" hierarchy="2" level="1">
      <sharedItems count="4">
        <s v="SUV"/>
        <s v="경차"/>
        <s v="전기차"/>
        <s v="중형"/>
      </sharedItems>
    </cacheField>
    <cacheField name="[Measures].[평균: 대여료]" caption="평균: 대여료" numFmtId="0" hierarchy="9" level="32767"/>
  </cacheFields>
  <cacheHierarchies count="10">
    <cacheHierarchy uniqueName="[쿼리].[대여번호]" caption="대여번호" attribute="1" defaultMemberUniqueName="[쿼리].[대여번호].[All]" allUniqueName="[쿼리].[대여번호].[All]" dimensionUniqueName="[쿼리]" displayFolder="" count="0" memberValueDatatype="130" unbalanced="0"/>
    <cacheHierarchy uniqueName="[쿼리].[지점]" caption="지점" attribute="1" defaultMemberUniqueName="[쿼리].[지점].[All]" allUniqueName="[쿼리].[지점].[All]" dimensionUniqueName="[쿼리]" displayFolder="" count="2" memberValueDatatype="130" unbalanced="0">
      <fieldsUsage count="2">
        <fieldUsage x="-1"/>
        <fieldUsage x="1"/>
      </fieldsUsage>
    </cacheHierarchy>
    <cacheHierarchy uniqueName="[쿼리].[차종]" caption="차종" attribute="1" defaultMemberUniqueName="[쿼리].[차종].[All]" allUniqueName="[쿼리].[차종].[All]" dimensionUniqueName="[쿼리]" displayFolder="" count="2" memberValueDatatype="130" unbalanced="0">
      <fieldsUsage count="2">
        <fieldUsage x="-1"/>
        <fieldUsage x="2"/>
      </fieldsUsage>
    </cacheHierarchy>
    <cacheHierarchy uniqueName="[쿼리].[대여경로]" caption="대여경로" attribute="1" defaultMemberUniqueName="[쿼리].[대여경로].[All]" allUniqueName="[쿼리].[대여경로].[All]" dimensionUniqueName="[쿼리]" displayFolder="" count="2" memberValueDatatype="130" unbalanced="0">
      <fieldsUsage count="2">
        <fieldUsage x="-1"/>
        <fieldUsage x="0"/>
      </fieldsUsage>
    </cacheHierarchy>
    <cacheHierarchy uniqueName="[쿼리].[대여일수]" caption="대여일수" attribute="1" defaultMemberUniqueName="[쿼리].[대여일수].[All]" allUniqueName="[쿼리].[대여일수].[All]" dimensionUniqueName="[쿼리]" displayFolder="" count="0" memberValueDatatype="130" unbalanced="0"/>
    <cacheHierarchy uniqueName="[쿼리].[대여료]" caption="대여료" attribute="1" defaultMemberUniqueName="[쿼리].[대여료].[All]" allUniqueName="[쿼리].[대여료].[All]" dimensionUniqueName="[쿼리]" displayFolder="" count="0" memberValueDatatype="5" unbalanced="0"/>
    <cacheHierarchy uniqueName="[쿼리].[보험]" caption="보험" attribute="1" defaultMemberUniqueName="[쿼리].[보험].[All]" allUniqueName="[쿼리].[보험].[All]" dimensionUniqueName="[쿼리]" displayFolder="" count="0" memberValueDatatype="130" unbalanced="0"/>
    <cacheHierarchy uniqueName="[Measures].[__XL_Count 쿼리]" caption="__XL_Count 쿼리" measure="1" displayFolder="" measureGroup="쿼리" count="0" hidden="1"/>
    <cacheHierarchy uniqueName="[Measures].[__No measures defined]" caption="__No measures defined" measure="1" displayFolder="" count="0" hidden="1"/>
    <cacheHierarchy uniqueName="[Measures].[평균: 대여료]" caption="평균: 대여료" measure="1" displayFolder="" measureGroup="쿼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쿼리" uniqueName="[쿼리]" caption="쿼리"/>
  </dimensions>
  <measureGroups count="1">
    <measureGroup name="쿼리" caption="쿼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12B243-1D20-4DDD-988C-C9E00DE96C95}" name="PT" cacheId="28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compact="0" compactData="0" multipleFieldFilters="0">
  <location ref="A3:E7" firstHeaderRow="1" firstDataRow="2" firstDataCol="1" rowPageCount="1" colPageCount="1"/>
  <pivotFields count="4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1">
    <field x="1"/>
  </rowFields>
  <rowItems count="3">
    <i>
      <x/>
    </i>
    <i>
      <x v="1"/>
    </i>
    <i>
      <x v="2"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0" hier="3" name="[쿼리].[대여경로].[All]" cap="All"/>
  </pageFields>
  <dataFields count="1">
    <dataField name="평균 : 대여료" fld="3" subtotal="average" baseField="0" baseItem="0" numFmtId="3"/>
  </dataFields>
  <pivotHierarchies count="1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평균 : 대여료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tabSelected="1" workbookViewId="0">
      <selection sqref="A1:H1"/>
    </sheetView>
  </sheetViews>
  <sheetFormatPr defaultRowHeight="17.399999999999999" x14ac:dyDescent="0.4"/>
  <cols>
    <col min="1" max="1" width="10" style="10" customWidth="1"/>
    <col min="2" max="2" width="9" style="10" customWidth="1"/>
    <col min="3" max="4" width="8" style="10" customWidth="1"/>
    <col min="5" max="5" width="12" style="10" customWidth="1"/>
    <col min="6" max="6" width="9" customWidth="1"/>
    <col min="7" max="7" width="10" customWidth="1"/>
    <col min="8" max="8" width="11" customWidth="1"/>
  </cols>
  <sheetData>
    <row r="1" spans="1:8" ht="24" x14ac:dyDescent="0.55000000000000004">
      <c r="A1" s="11" t="s">
        <v>0</v>
      </c>
      <c r="B1" s="12"/>
      <c r="C1" s="12"/>
      <c r="D1" s="12"/>
      <c r="E1" s="12"/>
      <c r="F1" s="12"/>
      <c r="G1" s="12"/>
      <c r="H1" s="12"/>
    </row>
    <row r="3" spans="1:8" x14ac:dyDescent="0.4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4">
      <c r="A4" s="2" t="s">
        <v>9</v>
      </c>
      <c r="B4" s="2" t="s">
        <v>10</v>
      </c>
      <c r="C4" s="2" t="s">
        <v>11</v>
      </c>
      <c r="D4" s="2" t="s">
        <v>12</v>
      </c>
      <c r="E4" s="3">
        <v>46270</v>
      </c>
      <c r="F4" s="2">
        <v>3</v>
      </c>
      <c r="G4" s="4">
        <v>61000</v>
      </c>
      <c r="H4" s="4">
        <v>183000</v>
      </c>
    </row>
    <row r="5" spans="1:8" x14ac:dyDescent="0.4">
      <c r="A5" s="2" t="s">
        <v>13</v>
      </c>
      <c r="B5" s="2" t="s">
        <v>14</v>
      </c>
      <c r="C5" s="2" t="s">
        <v>15</v>
      </c>
      <c r="D5" s="2" t="s">
        <v>16</v>
      </c>
      <c r="E5" s="3">
        <v>46271</v>
      </c>
      <c r="F5" s="2">
        <v>5</v>
      </c>
      <c r="G5" s="4">
        <v>82000</v>
      </c>
      <c r="H5" s="4">
        <v>410000</v>
      </c>
    </row>
    <row r="6" spans="1:8" x14ac:dyDescent="0.4">
      <c r="A6" s="2" t="s">
        <v>17</v>
      </c>
      <c r="B6" s="2" t="s">
        <v>18</v>
      </c>
      <c r="C6" s="2" t="s">
        <v>19</v>
      </c>
      <c r="D6" s="2" t="s">
        <v>12</v>
      </c>
      <c r="E6" s="3">
        <v>46272</v>
      </c>
      <c r="F6" s="2">
        <v>2</v>
      </c>
      <c r="G6" s="4">
        <v>42000</v>
      </c>
      <c r="H6" s="4">
        <v>84000</v>
      </c>
    </row>
    <row r="7" spans="1:8" x14ac:dyDescent="0.4">
      <c r="A7" s="2" t="s">
        <v>20</v>
      </c>
      <c r="B7" s="2" t="s">
        <v>21</v>
      </c>
      <c r="C7" s="2" t="s">
        <v>22</v>
      </c>
      <c r="D7" s="2" t="s">
        <v>23</v>
      </c>
      <c r="E7" s="3">
        <v>46273</v>
      </c>
      <c r="F7" s="2">
        <v>4</v>
      </c>
      <c r="G7" s="4">
        <v>74000</v>
      </c>
      <c r="H7" s="4">
        <v>296000</v>
      </c>
    </row>
    <row r="8" spans="1:8" x14ac:dyDescent="0.4">
      <c r="A8" s="2" t="s">
        <v>24</v>
      </c>
      <c r="B8" s="2" t="s">
        <v>25</v>
      </c>
      <c r="C8" s="2" t="s">
        <v>15</v>
      </c>
      <c r="D8" s="2" t="s">
        <v>12</v>
      </c>
      <c r="E8" s="3">
        <v>46277</v>
      </c>
      <c r="F8" s="2">
        <v>2</v>
      </c>
      <c r="G8" s="4">
        <v>82000</v>
      </c>
      <c r="H8" s="4">
        <v>164000</v>
      </c>
    </row>
    <row r="9" spans="1:8" x14ac:dyDescent="0.4">
      <c r="A9" s="2" t="s">
        <v>26</v>
      </c>
      <c r="B9" s="2" t="s">
        <v>27</v>
      </c>
      <c r="C9" s="2" t="s">
        <v>11</v>
      </c>
      <c r="D9" s="2" t="s">
        <v>23</v>
      </c>
      <c r="E9" s="3">
        <v>46278</v>
      </c>
      <c r="F9" s="2">
        <v>6</v>
      </c>
      <c r="G9" s="4">
        <v>61000</v>
      </c>
      <c r="H9" s="4">
        <v>366000</v>
      </c>
    </row>
    <row r="10" spans="1:8" x14ac:dyDescent="0.4">
      <c r="A10" s="2" t="s">
        <v>28</v>
      </c>
      <c r="B10" s="2" t="s">
        <v>29</v>
      </c>
      <c r="C10" s="2" t="s">
        <v>22</v>
      </c>
      <c r="D10" s="2" t="s">
        <v>16</v>
      </c>
      <c r="E10" s="3">
        <v>46280</v>
      </c>
      <c r="F10" s="2">
        <v>2</v>
      </c>
      <c r="G10" s="4">
        <v>74000</v>
      </c>
      <c r="H10" s="4">
        <v>148000</v>
      </c>
    </row>
    <row r="11" spans="1:8" x14ac:dyDescent="0.4">
      <c r="A11" s="2" t="s">
        <v>30</v>
      </c>
      <c r="B11" s="2" t="s">
        <v>31</v>
      </c>
      <c r="C11" s="2" t="s">
        <v>19</v>
      </c>
      <c r="D11" s="2" t="s">
        <v>16</v>
      </c>
      <c r="E11" s="3">
        <v>46284</v>
      </c>
      <c r="F11" s="2">
        <v>7</v>
      </c>
      <c r="G11" s="4">
        <v>42000</v>
      </c>
      <c r="H11" s="4">
        <v>294000</v>
      </c>
    </row>
    <row r="12" spans="1:8" x14ac:dyDescent="0.4">
      <c r="A12" s="2" t="s">
        <v>32</v>
      </c>
      <c r="B12" s="2" t="s">
        <v>33</v>
      </c>
      <c r="C12" s="2" t="s">
        <v>15</v>
      </c>
      <c r="D12" s="2" t="s">
        <v>23</v>
      </c>
      <c r="E12" s="3">
        <v>46285</v>
      </c>
      <c r="F12" s="2">
        <v>6</v>
      </c>
      <c r="G12" s="4">
        <v>82000</v>
      </c>
      <c r="H12" s="4">
        <v>492000</v>
      </c>
    </row>
    <row r="13" spans="1:8" x14ac:dyDescent="0.4">
      <c r="A13" s="2" t="s">
        <v>34</v>
      </c>
      <c r="B13" s="2" t="s">
        <v>35</v>
      </c>
      <c r="C13" s="2" t="s">
        <v>11</v>
      </c>
      <c r="D13" s="2" t="s">
        <v>12</v>
      </c>
      <c r="E13" s="3">
        <v>46287</v>
      </c>
      <c r="F13" s="2">
        <v>1</v>
      </c>
      <c r="G13" s="4">
        <v>61000</v>
      </c>
      <c r="H13" s="4">
        <v>61000</v>
      </c>
    </row>
    <row r="14" spans="1:8" x14ac:dyDescent="0.4">
      <c r="A14" s="2" t="s">
        <v>36</v>
      </c>
      <c r="B14" s="2" t="s">
        <v>37</v>
      </c>
      <c r="C14" s="2" t="s">
        <v>22</v>
      </c>
      <c r="D14" s="2" t="s">
        <v>12</v>
      </c>
      <c r="E14" s="3">
        <v>46291</v>
      </c>
      <c r="F14" s="2">
        <v>5</v>
      </c>
      <c r="G14" s="4">
        <v>74000</v>
      </c>
      <c r="H14" s="4">
        <v>370000</v>
      </c>
    </row>
    <row r="15" spans="1:8" x14ac:dyDescent="0.4">
      <c r="A15" s="2" t="s">
        <v>38</v>
      </c>
      <c r="B15" s="2" t="s">
        <v>39</v>
      </c>
      <c r="C15" s="2" t="s">
        <v>15</v>
      </c>
      <c r="D15" s="2" t="s">
        <v>16</v>
      </c>
      <c r="E15" s="3">
        <v>46292</v>
      </c>
      <c r="F15" s="2">
        <v>3</v>
      </c>
      <c r="G15" s="4">
        <v>82000</v>
      </c>
      <c r="H15" s="4">
        <v>246000</v>
      </c>
    </row>
    <row r="16" spans="1:8" x14ac:dyDescent="0.4">
      <c r="A16" s="2" t="s">
        <v>40</v>
      </c>
      <c r="B16" s="2" t="s">
        <v>41</v>
      </c>
      <c r="C16" s="2" t="s">
        <v>19</v>
      </c>
      <c r="D16" s="2" t="s">
        <v>23</v>
      </c>
      <c r="E16" s="3">
        <v>46294</v>
      </c>
      <c r="F16" s="2">
        <v>4</v>
      </c>
      <c r="G16" s="4">
        <v>42000</v>
      </c>
      <c r="H16" s="4">
        <v>168000</v>
      </c>
    </row>
    <row r="17" spans="1:8" x14ac:dyDescent="0.4">
      <c r="A17" s="2" t="s">
        <v>42</v>
      </c>
      <c r="B17" s="2" t="s">
        <v>43</v>
      </c>
      <c r="C17" s="2" t="s">
        <v>22</v>
      </c>
      <c r="D17" s="2" t="s">
        <v>16</v>
      </c>
      <c r="E17" s="3">
        <v>46298</v>
      </c>
      <c r="F17" s="2">
        <v>3</v>
      </c>
      <c r="G17" s="4">
        <v>74000</v>
      </c>
      <c r="H17" s="4">
        <v>222000</v>
      </c>
    </row>
    <row r="18" spans="1:8" x14ac:dyDescent="0.4">
      <c r="A18" s="2" t="s">
        <v>44</v>
      </c>
      <c r="B18" s="2" t="s">
        <v>45</v>
      </c>
      <c r="C18" s="2" t="s">
        <v>11</v>
      </c>
      <c r="D18" s="2" t="s">
        <v>23</v>
      </c>
      <c r="E18" s="3">
        <v>46299</v>
      </c>
      <c r="F18" s="2">
        <v>4</v>
      </c>
      <c r="G18" s="4">
        <v>61000</v>
      </c>
      <c r="H18" s="4">
        <v>244000</v>
      </c>
    </row>
    <row r="21" spans="1:8" x14ac:dyDescent="0.4">
      <c r="A21" t="s">
        <v>226</v>
      </c>
      <c r="B21"/>
      <c r="C21"/>
      <c r="D21"/>
      <c r="E21"/>
    </row>
    <row r="22" spans="1:8" x14ac:dyDescent="0.4">
      <c r="A22" t="b">
        <f>AND(OR($C4="SUV",$C4="전기차"),$F4&gt;=AVERAGE($F$4:$F$18))</f>
        <v>0</v>
      </c>
      <c r="B22"/>
      <c r="C22"/>
      <c r="D22"/>
      <c r="E22"/>
    </row>
    <row r="25" spans="1:8" x14ac:dyDescent="0.4">
      <c r="A25" t="s">
        <v>1</v>
      </c>
      <c r="B25" t="s">
        <v>2</v>
      </c>
      <c r="C25" t="s">
        <v>3</v>
      </c>
      <c r="D25" t="s">
        <v>6</v>
      </c>
      <c r="E25" t="s">
        <v>8</v>
      </c>
    </row>
    <row r="26" spans="1:8" x14ac:dyDescent="0.4">
      <c r="A26" s="2" t="s">
        <v>13</v>
      </c>
      <c r="B26" s="2" t="s">
        <v>14</v>
      </c>
      <c r="C26" s="2" t="s">
        <v>15</v>
      </c>
      <c r="D26" s="2">
        <v>5</v>
      </c>
      <c r="E26" s="4">
        <v>410000</v>
      </c>
    </row>
    <row r="27" spans="1:8" x14ac:dyDescent="0.4">
      <c r="A27" s="2" t="s">
        <v>20</v>
      </c>
      <c r="B27" s="2" t="s">
        <v>21</v>
      </c>
      <c r="C27" s="2" t="s">
        <v>22</v>
      </c>
      <c r="D27" s="2">
        <v>4</v>
      </c>
      <c r="E27" s="4">
        <v>296000</v>
      </c>
    </row>
    <row r="28" spans="1:8" x14ac:dyDescent="0.4">
      <c r="A28" s="2" t="s">
        <v>32</v>
      </c>
      <c r="B28" s="2" t="s">
        <v>33</v>
      </c>
      <c r="C28" s="2" t="s">
        <v>15</v>
      </c>
      <c r="D28" s="2">
        <v>6</v>
      </c>
      <c r="E28" s="4">
        <v>492000</v>
      </c>
    </row>
    <row r="29" spans="1:8" x14ac:dyDescent="0.4">
      <c r="A29" s="2" t="s">
        <v>36</v>
      </c>
      <c r="B29" s="2" t="s">
        <v>37</v>
      </c>
      <c r="C29" s="2" t="s">
        <v>22</v>
      </c>
      <c r="D29" s="2">
        <v>5</v>
      </c>
      <c r="E29" s="4">
        <v>370000</v>
      </c>
    </row>
  </sheetData>
  <mergeCells count="1">
    <mergeCell ref="A1:H1"/>
  </mergeCells>
  <phoneticPr fontId="4" type="noConversion"/>
  <conditionalFormatting sqref="A4:H18">
    <cfRule type="expression" dxfId="0" priority="1" stopIfTrue="1">
      <formula>AND(WEEKDAY($E4,2)&gt;=6,$H4&gt;=AVERAGE($H$4:$H$18))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3"/>
  <sheetViews>
    <sheetView workbookViewId="0"/>
  </sheetViews>
  <sheetFormatPr defaultRowHeight="17.399999999999999" x14ac:dyDescent="0.4"/>
  <cols>
    <col min="1" max="1" width="10" customWidth="1"/>
    <col min="2" max="2" width="12" customWidth="1"/>
    <col min="3" max="3" width="8" customWidth="1"/>
    <col min="4" max="4" width="12" customWidth="1"/>
    <col min="5" max="5" width="15" customWidth="1"/>
    <col min="6" max="7" width="10" customWidth="1"/>
    <col min="8" max="8" width="11" customWidth="1"/>
  </cols>
  <sheetData>
    <row r="1" spans="1:8" ht="24" x14ac:dyDescent="0.55000000000000004">
      <c r="A1" s="11" t="s">
        <v>46</v>
      </c>
      <c r="B1" s="12"/>
      <c r="C1" s="12"/>
      <c r="D1" s="12"/>
      <c r="E1" s="12"/>
      <c r="F1" s="12"/>
      <c r="G1" s="12"/>
      <c r="H1" s="12"/>
    </row>
    <row r="3" spans="1:8" x14ac:dyDescent="0.4">
      <c r="A3" s="1" t="s">
        <v>47</v>
      </c>
      <c r="B3" s="1" t="s">
        <v>48</v>
      </c>
      <c r="C3" s="1" t="s">
        <v>3</v>
      </c>
      <c r="D3" s="1" t="s">
        <v>49</v>
      </c>
      <c r="E3" s="1" t="s">
        <v>50</v>
      </c>
      <c r="F3" s="1" t="s">
        <v>51</v>
      </c>
      <c r="G3" s="1" t="s">
        <v>52</v>
      </c>
      <c r="H3" s="1" t="s">
        <v>53</v>
      </c>
    </row>
    <row r="4" spans="1:8" x14ac:dyDescent="0.4">
      <c r="A4" s="2" t="s">
        <v>54</v>
      </c>
      <c r="B4" s="2" t="s">
        <v>55</v>
      </c>
      <c r="C4" s="2" t="s">
        <v>15</v>
      </c>
      <c r="D4" s="3">
        <v>46235</v>
      </c>
      <c r="E4" s="2" t="s">
        <v>56</v>
      </c>
      <c r="F4" s="4">
        <v>232000</v>
      </c>
      <c r="G4" s="4">
        <v>37000</v>
      </c>
      <c r="H4" s="4">
        <v>269000</v>
      </c>
    </row>
    <row r="5" spans="1:8" x14ac:dyDescent="0.4">
      <c r="A5" s="2" t="s">
        <v>57</v>
      </c>
      <c r="B5" s="2" t="s">
        <v>58</v>
      </c>
      <c r="C5" s="2" t="s">
        <v>15</v>
      </c>
      <c r="D5" s="3">
        <v>46237</v>
      </c>
      <c r="E5" s="2" t="s">
        <v>59</v>
      </c>
      <c r="F5" s="4">
        <v>202000</v>
      </c>
      <c r="G5" s="4">
        <v>11000</v>
      </c>
      <c r="H5" s="4">
        <v>213000</v>
      </c>
    </row>
    <row r="6" spans="1:8" x14ac:dyDescent="0.4">
      <c r="A6" s="2" t="s">
        <v>60</v>
      </c>
      <c r="B6" s="2" t="s">
        <v>61</v>
      </c>
      <c r="C6" s="2" t="s">
        <v>22</v>
      </c>
      <c r="D6" s="3">
        <v>46239</v>
      </c>
      <c r="E6" s="2" t="s">
        <v>56</v>
      </c>
      <c r="F6" s="4">
        <v>268000</v>
      </c>
      <c r="G6" s="4">
        <v>33000</v>
      </c>
      <c r="H6" s="4">
        <v>301000</v>
      </c>
    </row>
    <row r="7" spans="1:8" x14ac:dyDescent="0.4">
      <c r="A7" s="2" t="s">
        <v>62</v>
      </c>
      <c r="B7" s="2" t="s">
        <v>63</v>
      </c>
      <c r="C7" s="2" t="s">
        <v>11</v>
      </c>
      <c r="D7" s="3">
        <v>46241</v>
      </c>
      <c r="E7" s="2" t="s">
        <v>64</v>
      </c>
      <c r="F7" s="4">
        <v>179000</v>
      </c>
      <c r="G7" s="4">
        <v>48000</v>
      </c>
      <c r="H7" s="4">
        <v>227000</v>
      </c>
    </row>
    <row r="8" spans="1:8" x14ac:dyDescent="0.4">
      <c r="A8" s="2" t="s">
        <v>65</v>
      </c>
      <c r="B8" s="2" t="s">
        <v>66</v>
      </c>
      <c r="C8" s="2" t="s">
        <v>11</v>
      </c>
      <c r="D8" s="3">
        <v>46243</v>
      </c>
      <c r="E8" s="2" t="s">
        <v>67</v>
      </c>
      <c r="F8" s="4">
        <v>375000</v>
      </c>
      <c r="G8" s="4">
        <v>37000</v>
      </c>
      <c r="H8" s="4">
        <v>412000</v>
      </c>
    </row>
    <row r="9" spans="1:8" x14ac:dyDescent="0.4">
      <c r="A9" s="2" t="s">
        <v>68</v>
      </c>
      <c r="B9" s="2" t="s">
        <v>69</v>
      </c>
      <c r="C9" s="2" t="s">
        <v>19</v>
      </c>
      <c r="D9" s="3">
        <v>46245</v>
      </c>
      <c r="E9" s="2" t="s">
        <v>70</v>
      </c>
      <c r="F9" s="4">
        <v>443000</v>
      </c>
      <c r="G9" s="4">
        <v>20000</v>
      </c>
      <c r="H9" s="4">
        <v>463000</v>
      </c>
    </row>
    <row r="10" spans="1:8" x14ac:dyDescent="0.4">
      <c r="A10" s="2" t="s">
        <v>71</v>
      </c>
      <c r="B10" s="2" t="s">
        <v>72</v>
      </c>
      <c r="C10" s="2" t="s">
        <v>11</v>
      </c>
      <c r="D10" s="3">
        <v>46247</v>
      </c>
      <c r="E10" s="2" t="s">
        <v>73</v>
      </c>
      <c r="F10" s="4">
        <v>423000</v>
      </c>
      <c r="G10" s="4">
        <v>31000</v>
      </c>
      <c r="H10" s="4">
        <v>454000</v>
      </c>
    </row>
    <row r="11" spans="1:8" x14ac:dyDescent="0.4">
      <c r="A11" s="2" t="s">
        <v>74</v>
      </c>
      <c r="B11" s="2" t="s">
        <v>75</v>
      </c>
      <c r="C11" s="2" t="s">
        <v>11</v>
      </c>
      <c r="D11" s="3">
        <v>46249</v>
      </c>
      <c r="E11" s="2" t="s">
        <v>56</v>
      </c>
      <c r="F11" s="4">
        <v>189000</v>
      </c>
      <c r="G11" s="4">
        <v>62000</v>
      </c>
      <c r="H11" s="4">
        <v>251000</v>
      </c>
    </row>
    <row r="12" spans="1:8" x14ac:dyDescent="0.4">
      <c r="A12" s="2" t="s">
        <v>76</v>
      </c>
      <c r="B12" s="2" t="s">
        <v>77</v>
      </c>
      <c r="C12" s="2" t="s">
        <v>19</v>
      </c>
      <c r="D12" s="3">
        <v>46251</v>
      </c>
      <c r="E12" s="2" t="s">
        <v>59</v>
      </c>
      <c r="F12" s="4">
        <v>34000</v>
      </c>
      <c r="G12" s="4">
        <v>10000</v>
      </c>
      <c r="H12" s="4">
        <v>44000</v>
      </c>
    </row>
    <row r="13" spans="1:8" x14ac:dyDescent="0.4">
      <c r="A13" s="2" t="s">
        <v>78</v>
      </c>
      <c r="B13" s="2" t="s">
        <v>79</v>
      </c>
      <c r="C13" s="2" t="s">
        <v>15</v>
      </c>
      <c r="D13" s="3">
        <v>46253</v>
      </c>
      <c r="E13" s="2" t="s">
        <v>80</v>
      </c>
      <c r="F13" s="4">
        <v>213000</v>
      </c>
      <c r="G13" s="4">
        <v>17000</v>
      </c>
      <c r="H13" s="4">
        <v>230000</v>
      </c>
    </row>
    <row r="14" spans="1:8" x14ac:dyDescent="0.4">
      <c r="A14" s="2" t="s">
        <v>81</v>
      </c>
      <c r="B14" s="2" t="s">
        <v>82</v>
      </c>
      <c r="C14" s="2" t="s">
        <v>15</v>
      </c>
      <c r="D14" s="3">
        <v>46255</v>
      </c>
      <c r="E14" s="2" t="s">
        <v>59</v>
      </c>
      <c r="F14" s="4">
        <v>305000</v>
      </c>
      <c r="G14" s="4">
        <v>33000</v>
      </c>
      <c r="H14" s="4">
        <v>338000</v>
      </c>
    </row>
    <row r="15" spans="1:8" x14ac:dyDescent="0.4">
      <c r="A15" s="2" t="s">
        <v>83</v>
      </c>
      <c r="B15" s="2" t="s">
        <v>84</v>
      </c>
      <c r="C15" s="2" t="s">
        <v>22</v>
      </c>
      <c r="D15" s="3">
        <v>46257</v>
      </c>
      <c r="E15" s="2" t="s">
        <v>67</v>
      </c>
      <c r="F15" s="4">
        <v>305000</v>
      </c>
      <c r="G15" s="4">
        <v>81000</v>
      </c>
      <c r="H15" s="4">
        <v>386000</v>
      </c>
    </row>
    <row r="16" spans="1:8" x14ac:dyDescent="0.4">
      <c r="A16" s="2" t="s">
        <v>85</v>
      </c>
      <c r="B16" s="2" t="s">
        <v>86</v>
      </c>
      <c r="C16" s="2" t="s">
        <v>11</v>
      </c>
      <c r="D16" s="3">
        <v>46259</v>
      </c>
      <c r="E16" s="2" t="s">
        <v>70</v>
      </c>
      <c r="F16" s="4">
        <v>277000</v>
      </c>
      <c r="G16" s="4">
        <v>27000</v>
      </c>
      <c r="H16" s="4">
        <v>304000</v>
      </c>
    </row>
    <row r="17" spans="1:8" x14ac:dyDescent="0.4">
      <c r="A17" s="2" t="s">
        <v>87</v>
      </c>
      <c r="B17" s="2" t="s">
        <v>88</v>
      </c>
      <c r="C17" s="2" t="s">
        <v>22</v>
      </c>
      <c r="D17" s="3">
        <v>46261</v>
      </c>
      <c r="E17" s="2" t="s">
        <v>73</v>
      </c>
      <c r="F17" s="4">
        <v>70000</v>
      </c>
      <c r="G17" s="4">
        <v>42000</v>
      </c>
      <c r="H17" s="4">
        <v>112000</v>
      </c>
    </row>
    <row r="18" spans="1:8" x14ac:dyDescent="0.4">
      <c r="A18" s="2" t="s">
        <v>89</v>
      </c>
      <c r="B18" s="2" t="s">
        <v>90</v>
      </c>
      <c r="C18" s="2" t="s">
        <v>19</v>
      </c>
      <c r="D18" s="3">
        <v>46263</v>
      </c>
      <c r="E18" s="2" t="s">
        <v>56</v>
      </c>
      <c r="F18" s="4">
        <v>287000</v>
      </c>
      <c r="G18" s="4">
        <v>63000</v>
      </c>
      <c r="H18" s="4">
        <v>350000</v>
      </c>
    </row>
    <row r="19" spans="1:8" x14ac:dyDescent="0.4">
      <c r="A19" s="2" t="s">
        <v>91</v>
      </c>
      <c r="B19" s="2" t="s">
        <v>92</v>
      </c>
      <c r="C19" s="2" t="s">
        <v>19</v>
      </c>
      <c r="D19" s="3">
        <v>46266</v>
      </c>
      <c r="E19" s="2" t="s">
        <v>59</v>
      </c>
      <c r="F19" s="4">
        <v>360000</v>
      </c>
      <c r="G19" s="4">
        <v>24000</v>
      </c>
      <c r="H19" s="4">
        <v>384000</v>
      </c>
    </row>
    <row r="20" spans="1:8" x14ac:dyDescent="0.4">
      <c r="A20" s="2" t="s">
        <v>93</v>
      </c>
      <c r="B20" s="2" t="s">
        <v>94</v>
      </c>
      <c r="C20" s="2" t="s">
        <v>22</v>
      </c>
      <c r="D20" s="3">
        <v>46266</v>
      </c>
      <c r="E20" s="2" t="s">
        <v>73</v>
      </c>
      <c r="F20" s="4">
        <v>26000</v>
      </c>
      <c r="G20" s="4">
        <v>47000</v>
      </c>
      <c r="H20" s="4">
        <v>73000</v>
      </c>
    </row>
    <row r="21" spans="1:8" x14ac:dyDescent="0.4">
      <c r="A21" s="2" t="s">
        <v>95</v>
      </c>
      <c r="B21" s="2" t="s">
        <v>96</v>
      </c>
      <c r="C21" s="2" t="s">
        <v>15</v>
      </c>
      <c r="D21" s="3">
        <v>46267</v>
      </c>
      <c r="E21" s="2" t="s">
        <v>64</v>
      </c>
      <c r="F21" s="4">
        <v>109000</v>
      </c>
      <c r="G21" s="4">
        <v>76000</v>
      </c>
      <c r="H21" s="4">
        <v>185000</v>
      </c>
    </row>
    <row r="22" spans="1:8" x14ac:dyDescent="0.4">
      <c r="A22" s="2" t="s">
        <v>97</v>
      </c>
      <c r="B22" s="2" t="s">
        <v>98</v>
      </c>
      <c r="C22" s="2" t="s">
        <v>11</v>
      </c>
      <c r="D22" s="3">
        <v>46268</v>
      </c>
      <c r="E22" s="2" t="s">
        <v>67</v>
      </c>
      <c r="F22" s="4">
        <v>274000</v>
      </c>
      <c r="G22" s="4">
        <v>36000</v>
      </c>
      <c r="H22" s="4">
        <v>310000</v>
      </c>
    </row>
    <row r="23" spans="1:8" x14ac:dyDescent="0.4">
      <c r="A23" s="2" t="s">
        <v>99</v>
      </c>
      <c r="B23" s="2" t="s">
        <v>100</v>
      </c>
      <c r="C23" s="2" t="s">
        <v>15</v>
      </c>
      <c r="D23" s="3">
        <v>46268</v>
      </c>
      <c r="E23" s="2" t="s">
        <v>67</v>
      </c>
      <c r="F23" s="4">
        <v>342000</v>
      </c>
      <c r="G23" s="4">
        <v>54000</v>
      </c>
      <c r="H23" s="4">
        <v>396000</v>
      </c>
    </row>
    <row r="24" spans="1:8" x14ac:dyDescent="0.4">
      <c r="A24" s="2" t="s">
        <v>101</v>
      </c>
      <c r="B24" s="2" t="s">
        <v>102</v>
      </c>
      <c r="C24" s="2" t="s">
        <v>22</v>
      </c>
      <c r="D24" s="3">
        <v>46269</v>
      </c>
      <c r="E24" s="2" t="s">
        <v>73</v>
      </c>
      <c r="F24" s="4">
        <v>452000</v>
      </c>
      <c r="G24" s="4">
        <v>21000</v>
      </c>
      <c r="H24" s="4">
        <v>473000</v>
      </c>
    </row>
    <row r="25" spans="1:8" x14ac:dyDescent="0.4">
      <c r="A25" s="2" t="s">
        <v>103</v>
      </c>
      <c r="B25" s="2" t="s">
        <v>104</v>
      </c>
      <c r="C25" s="2" t="s">
        <v>15</v>
      </c>
      <c r="D25" s="3">
        <v>46270</v>
      </c>
      <c r="E25" s="2" t="s">
        <v>64</v>
      </c>
      <c r="F25" s="4">
        <v>373000</v>
      </c>
      <c r="G25" s="4">
        <v>44000</v>
      </c>
      <c r="H25" s="4">
        <v>417000</v>
      </c>
    </row>
    <row r="26" spans="1:8" x14ac:dyDescent="0.4">
      <c r="A26" s="2" t="s">
        <v>105</v>
      </c>
      <c r="B26" s="2" t="s">
        <v>106</v>
      </c>
      <c r="C26" s="2" t="s">
        <v>22</v>
      </c>
      <c r="D26" s="3">
        <v>46270</v>
      </c>
      <c r="E26" s="2" t="s">
        <v>56</v>
      </c>
      <c r="F26" s="4">
        <v>394000</v>
      </c>
      <c r="G26" s="4">
        <v>65000</v>
      </c>
      <c r="H26" s="4">
        <v>459000</v>
      </c>
    </row>
    <row r="27" spans="1:8" x14ac:dyDescent="0.4">
      <c r="A27" s="2" t="s">
        <v>107</v>
      </c>
      <c r="B27" s="2" t="s">
        <v>108</v>
      </c>
      <c r="C27" s="2" t="s">
        <v>11</v>
      </c>
      <c r="D27" s="3">
        <v>46271</v>
      </c>
      <c r="E27" s="2" t="s">
        <v>56</v>
      </c>
      <c r="F27" s="4">
        <v>212000</v>
      </c>
      <c r="G27" s="4">
        <v>43000</v>
      </c>
      <c r="H27" s="4">
        <v>255000</v>
      </c>
    </row>
    <row r="28" spans="1:8" x14ac:dyDescent="0.4">
      <c r="A28" s="2" t="s">
        <v>109</v>
      </c>
      <c r="B28" s="2" t="s">
        <v>110</v>
      </c>
      <c r="C28" s="2" t="s">
        <v>22</v>
      </c>
      <c r="D28" s="3">
        <v>46272</v>
      </c>
      <c r="E28" s="2" t="s">
        <v>56</v>
      </c>
      <c r="F28" s="4">
        <v>151000</v>
      </c>
      <c r="G28" s="4">
        <v>21000</v>
      </c>
      <c r="H28" s="4">
        <v>172000</v>
      </c>
    </row>
    <row r="29" spans="1:8" x14ac:dyDescent="0.4">
      <c r="A29" s="2" t="s">
        <v>111</v>
      </c>
      <c r="B29" s="2" t="s">
        <v>112</v>
      </c>
      <c r="C29" s="2" t="s">
        <v>15</v>
      </c>
      <c r="D29" s="3">
        <v>46272</v>
      </c>
      <c r="E29" s="2" t="s">
        <v>80</v>
      </c>
      <c r="F29" s="4">
        <v>224000</v>
      </c>
      <c r="G29" s="4">
        <v>55000</v>
      </c>
      <c r="H29" s="4">
        <v>279000</v>
      </c>
    </row>
    <row r="30" spans="1:8" x14ac:dyDescent="0.4">
      <c r="A30" s="2" t="s">
        <v>113</v>
      </c>
      <c r="B30" s="2" t="s">
        <v>114</v>
      </c>
      <c r="C30" s="2" t="s">
        <v>22</v>
      </c>
      <c r="D30" s="3">
        <v>46273</v>
      </c>
      <c r="E30" s="2" t="s">
        <v>59</v>
      </c>
      <c r="F30" s="4">
        <v>448000</v>
      </c>
      <c r="G30" s="4">
        <v>21000</v>
      </c>
      <c r="H30" s="4">
        <v>469000</v>
      </c>
    </row>
    <row r="31" spans="1:8" x14ac:dyDescent="0.4">
      <c r="A31" s="2" t="s">
        <v>115</v>
      </c>
      <c r="B31" s="2" t="s">
        <v>116</v>
      </c>
      <c r="C31" s="2" t="s">
        <v>11</v>
      </c>
      <c r="D31" s="3">
        <v>46274</v>
      </c>
      <c r="E31" s="2" t="s">
        <v>73</v>
      </c>
      <c r="F31" s="4">
        <v>400000</v>
      </c>
      <c r="G31" s="4">
        <v>59000</v>
      </c>
      <c r="H31" s="4">
        <v>459000</v>
      </c>
    </row>
    <row r="32" spans="1:8" x14ac:dyDescent="0.4">
      <c r="A32" s="2" t="s">
        <v>117</v>
      </c>
      <c r="B32" s="2" t="s">
        <v>118</v>
      </c>
      <c r="C32" s="2" t="s">
        <v>22</v>
      </c>
      <c r="D32" s="3">
        <v>46274</v>
      </c>
      <c r="E32" s="2" t="s">
        <v>67</v>
      </c>
      <c r="F32" s="4">
        <v>168000</v>
      </c>
      <c r="G32" s="4">
        <v>21000</v>
      </c>
      <c r="H32" s="4">
        <v>189000</v>
      </c>
    </row>
    <row r="33" spans="1:8" x14ac:dyDescent="0.4">
      <c r="A33" s="2" t="s">
        <v>119</v>
      </c>
      <c r="B33" s="2" t="s">
        <v>120</v>
      </c>
      <c r="C33" s="2" t="s">
        <v>22</v>
      </c>
      <c r="D33" s="3">
        <v>46275</v>
      </c>
      <c r="E33" s="2" t="s">
        <v>56</v>
      </c>
      <c r="F33" s="4">
        <v>140000</v>
      </c>
      <c r="G33" s="4">
        <v>35000</v>
      </c>
      <c r="H33" s="4">
        <v>175000</v>
      </c>
    </row>
    <row r="34" spans="1:8" x14ac:dyDescent="0.4">
      <c r="A34" s="2" t="s">
        <v>121</v>
      </c>
      <c r="B34" s="2" t="s">
        <v>122</v>
      </c>
      <c r="C34" s="2" t="s">
        <v>11</v>
      </c>
      <c r="D34" s="3">
        <v>46276</v>
      </c>
      <c r="E34" s="2" t="s">
        <v>67</v>
      </c>
      <c r="F34" s="4">
        <v>40000</v>
      </c>
      <c r="G34" s="4">
        <v>57000</v>
      </c>
      <c r="H34" s="4">
        <v>97000</v>
      </c>
    </row>
    <row r="35" spans="1:8" x14ac:dyDescent="0.4">
      <c r="A35" s="2" t="s">
        <v>123</v>
      </c>
      <c r="B35" s="2" t="s">
        <v>124</v>
      </c>
      <c r="C35" s="2" t="s">
        <v>15</v>
      </c>
      <c r="D35" s="3">
        <v>46278</v>
      </c>
      <c r="E35" s="2" t="s">
        <v>70</v>
      </c>
      <c r="F35" s="4">
        <v>303000</v>
      </c>
      <c r="G35" s="4">
        <v>42000</v>
      </c>
      <c r="H35" s="4">
        <v>345000</v>
      </c>
    </row>
    <row r="36" spans="1:8" x14ac:dyDescent="0.4">
      <c r="A36" s="2" t="s">
        <v>125</v>
      </c>
      <c r="B36" s="2" t="s">
        <v>126</v>
      </c>
      <c r="C36" s="2" t="s">
        <v>22</v>
      </c>
      <c r="D36" s="3">
        <v>46280</v>
      </c>
      <c r="E36" s="2" t="s">
        <v>59</v>
      </c>
      <c r="F36" s="4">
        <v>145000</v>
      </c>
      <c r="G36" s="4">
        <v>50000</v>
      </c>
      <c r="H36" s="4">
        <v>195000</v>
      </c>
    </row>
    <row r="37" spans="1:8" x14ac:dyDescent="0.4">
      <c r="A37" s="2" t="s">
        <v>127</v>
      </c>
      <c r="B37" s="2" t="s">
        <v>128</v>
      </c>
      <c r="C37" s="2" t="s">
        <v>19</v>
      </c>
      <c r="D37" s="3">
        <v>46282</v>
      </c>
      <c r="E37" s="2" t="s">
        <v>64</v>
      </c>
      <c r="F37" s="4">
        <v>128000</v>
      </c>
      <c r="G37" s="4">
        <v>65000</v>
      </c>
      <c r="H37" s="4">
        <v>193000</v>
      </c>
    </row>
    <row r="38" spans="1:8" x14ac:dyDescent="0.4">
      <c r="A38" s="2" t="s">
        <v>129</v>
      </c>
      <c r="B38" s="2" t="s">
        <v>130</v>
      </c>
      <c r="C38" s="2" t="s">
        <v>22</v>
      </c>
      <c r="D38" s="3">
        <v>46284</v>
      </c>
      <c r="E38" s="2" t="s">
        <v>64</v>
      </c>
      <c r="F38" s="4">
        <v>392000</v>
      </c>
      <c r="G38" s="4">
        <v>10000</v>
      </c>
      <c r="H38" s="4">
        <v>402000</v>
      </c>
    </row>
    <row r="39" spans="1:8" x14ac:dyDescent="0.4">
      <c r="A39" s="2" t="s">
        <v>131</v>
      </c>
      <c r="B39" s="2" t="s">
        <v>132</v>
      </c>
      <c r="C39" s="2" t="s">
        <v>15</v>
      </c>
      <c r="D39" s="3">
        <v>46286</v>
      </c>
      <c r="E39" s="2" t="s">
        <v>56</v>
      </c>
      <c r="F39" s="4">
        <v>284000</v>
      </c>
      <c r="G39" s="4">
        <v>68000</v>
      </c>
      <c r="H39" s="4">
        <v>352000</v>
      </c>
    </row>
    <row r="40" spans="1:8" x14ac:dyDescent="0.4">
      <c r="A40" s="2" t="s">
        <v>133</v>
      </c>
      <c r="B40" s="2" t="s">
        <v>134</v>
      </c>
      <c r="C40" s="2" t="s">
        <v>22</v>
      </c>
      <c r="D40" s="3">
        <v>46288</v>
      </c>
      <c r="E40" s="2" t="s">
        <v>80</v>
      </c>
      <c r="F40" s="4">
        <v>355000</v>
      </c>
      <c r="G40" s="4">
        <v>45000</v>
      </c>
      <c r="H40" s="4">
        <v>400000</v>
      </c>
    </row>
    <row r="41" spans="1:8" x14ac:dyDescent="0.4">
      <c r="A41" s="2" t="s">
        <v>135</v>
      </c>
      <c r="B41" s="2" t="s">
        <v>136</v>
      </c>
      <c r="C41" s="2" t="s">
        <v>11</v>
      </c>
      <c r="D41" s="3">
        <v>46290</v>
      </c>
      <c r="E41" s="2" t="s">
        <v>70</v>
      </c>
      <c r="F41" s="4">
        <v>326000</v>
      </c>
      <c r="G41" s="4">
        <v>59000</v>
      </c>
      <c r="H41" s="4">
        <v>385000</v>
      </c>
    </row>
    <row r="42" spans="1:8" x14ac:dyDescent="0.4">
      <c r="A42" s="2" t="s">
        <v>137</v>
      </c>
      <c r="B42" s="2" t="s">
        <v>138</v>
      </c>
      <c r="C42" s="2" t="s">
        <v>11</v>
      </c>
      <c r="D42" s="3">
        <v>46292</v>
      </c>
      <c r="E42" s="2" t="s">
        <v>70</v>
      </c>
      <c r="F42" s="4">
        <v>478000</v>
      </c>
      <c r="G42" s="4">
        <v>78000</v>
      </c>
      <c r="H42" s="4">
        <v>556000</v>
      </c>
    </row>
    <row r="43" spans="1:8" x14ac:dyDescent="0.4">
      <c r="A43" s="2" t="s">
        <v>139</v>
      </c>
      <c r="B43" s="2" t="s">
        <v>140</v>
      </c>
      <c r="C43" s="2" t="s">
        <v>11</v>
      </c>
      <c r="D43" s="3">
        <v>46294</v>
      </c>
      <c r="E43" s="2" t="s">
        <v>59</v>
      </c>
      <c r="F43" s="4">
        <v>287000</v>
      </c>
      <c r="G43" s="4">
        <v>26000</v>
      </c>
      <c r="H43" s="4">
        <v>313000</v>
      </c>
    </row>
  </sheetData>
  <mergeCells count="1">
    <mergeCell ref="A1:H1"/>
  </mergeCells>
  <phoneticPr fontId="4" type="noConversion"/>
  <printOptions horizontalCentered="1"/>
  <pageMargins left="0.75" right="0.75" top="1" bottom="1" header="0.5" footer="0.5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O57"/>
  <sheetViews>
    <sheetView workbookViewId="0"/>
  </sheetViews>
  <sheetFormatPr defaultRowHeight="17.399999999999999" x14ac:dyDescent="0.4"/>
  <cols>
    <col min="1" max="2" width="10" customWidth="1"/>
    <col min="3" max="3" width="11" customWidth="1"/>
    <col min="4" max="4" width="9" customWidth="1"/>
    <col min="5" max="5" width="10" customWidth="1"/>
    <col min="6" max="6" width="11" customWidth="1"/>
    <col min="7" max="7" width="3" customWidth="1"/>
    <col min="8" max="8" width="9" customWidth="1"/>
    <col min="9" max="9" width="10" customWidth="1"/>
    <col min="10" max="11" width="9" customWidth="1"/>
    <col min="12" max="12" width="11" customWidth="1"/>
    <col min="13" max="13" width="3" customWidth="1"/>
    <col min="14" max="14" width="8" customWidth="1"/>
    <col min="15" max="15" width="9" customWidth="1"/>
  </cols>
  <sheetData>
    <row r="2" spans="1:9" x14ac:dyDescent="0.4">
      <c r="A2" t="s">
        <v>141</v>
      </c>
      <c r="H2" t="s">
        <v>142</v>
      </c>
    </row>
    <row r="3" spans="1:9" x14ac:dyDescent="0.4">
      <c r="A3" s="5" t="s">
        <v>1</v>
      </c>
      <c r="B3" s="5" t="s">
        <v>2</v>
      </c>
      <c r="C3" s="5" t="s">
        <v>3</v>
      </c>
      <c r="D3" s="5" t="s">
        <v>4</v>
      </c>
      <c r="E3" s="5" t="s">
        <v>6</v>
      </c>
      <c r="F3" s="5" t="s">
        <v>8</v>
      </c>
      <c r="H3" s="5" t="s">
        <v>3</v>
      </c>
      <c r="I3" s="5" t="s">
        <v>2</v>
      </c>
    </row>
    <row r="4" spans="1:9" x14ac:dyDescent="0.4">
      <c r="A4" s="2" t="s">
        <v>143</v>
      </c>
      <c r="B4" s="2" t="s">
        <v>10</v>
      </c>
      <c r="C4" s="2" t="s">
        <v>11</v>
      </c>
      <c r="D4" s="2" t="s">
        <v>12</v>
      </c>
      <c r="E4" s="2">
        <v>3</v>
      </c>
      <c r="F4" s="4">
        <v>183000</v>
      </c>
      <c r="H4" s="2" t="s">
        <v>19</v>
      </c>
      <c r="I4" s="2" t="str">
        <f t="array" ref="I4">INDEX($B$4:$B$15,MATCH(MAX(($C$4:$C$15=H4)*$F$4:$F$15),($C$4:$C$15=H4)*$F$4:$F$15,0))</f>
        <v>표시온</v>
      </c>
    </row>
    <row r="5" spans="1:9" x14ac:dyDescent="0.4">
      <c r="A5" s="2" t="s">
        <v>144</v>
      </c>
      <c r="B5" s="2" t="s">
        <v>14</v>
      </c>
      <c r="C5" s="2" t="s">
        <v>15</v>
      </c>
      <c r="D5" s="2" t="s">
        <v>16</v>
      </c>
      <c r="E5" s="2">
        <v>5</v>
      </c>
      <c r="F5" s="4">
        <v>410000</v>
      </c>
      <c r="H5" s="2" t="s">
        <v>11</v>
      </c>
      <c r="I5" s="2" t="str">
        <f t="array" ref="I5">INDEX($B$4:$B$15,MATCH(MAX(($C$4:$C$15=H5)*$F$4:$F$15),($C$4:$C$15=H5)*$F$4:$F$15,0))</f>
        <v>봉지후</v>
      </c>
    </row>
    <row r="6" spans="1:9" x14ac:dyDescent="0.4">
      <c r="A6" s="2" t="s">
        <v>145</v>
      </c>
      <c r="B6" s="2" t="s">
        <v>18</v>
      </c>
      <c r="C6" s="2" t="s">
        <v>19</v>
      </c>
      <c r="D6" s="2" t="s">
        <v>12</v>
      </c>
      <c r="E6" s="2">
        <v>2</v>
      </c>
      <c r="F6" s="4">
        <v>84000</v>
      </c>
      <c r="H6" s="2" t="s">
        <v>15</v>
      </c>
      <c r="I6" s="2" t="str">
        <f t="array" ref="I6">INDEX($B$4:$B$15,MATCH(MAX(($C$4:$C$15=H6)*$F$4:$F$15),($C$4:$C$15=H6)*$F$4:$F$15,0))</f>
        <v>하연우</v>
      </c>
    </row>
    <row r="7" spans="1:9" x14ac:dyDescent="0.4">
      <c r="A7" s="2" t="s">
        <v>146</v>
      </c>
      <c r="B7" s="2" t="s">
        <v>21</v>
      </c>
      <c r="C7" s="2" t="s">
        <v>22</v>
      </c>
      <c r="D7" s="2" t="s">
        <v>23</v>
      </c>
      <c r="E7" s="2">
        <v>4</v>
      </c>
      <c r="F7" s="4">
        <v>296000</v>
      </c>
      <c r="H7" s="2" t="s">
        <v>22</v>
      </c>
      <c r="I7" s="2" t="str">
        <f t="array" ref="I7">INDEX($B$4:$B$15,MATCH(MAX(($C$4:$C$15=H7)*$F$4:$F$15),($C$4:$C$15=H7)*$F$4:$F$15,0))</f>
        <v>탁예린</v>
      </c>
    </row>
    <row r="8" spans="1:9" x14ac:dyDescent="0.4">
      <c r="A8" s="2" t="s">
        <v>147</v>
      </c>
      <c r="B8" s="2" t="s">
        <v>25</v>
      </c>
      <c r="C8" s="2" t="s">
        <v>15</v>
      </c>
      <c r="D8" s="2" t="s">
        <v>12</v>
      </c>
      <c r="E8" s="2">
        <v>6</v>
      </c>
      <c r="F8" s="4">
        <v>492000</v>
      </c>
    </row>
    <row r="9" spans="1:9" x14ac:dyDescent="0.4">
      <c r="A9" s="2" t="s">
        <v>148</v>
      </c>
      <c r="B9" s="2" t="s">
        <v>27</v>
      </c>
      <c r="C9" s="2" t="s">
        <v>11</v>
      </c>
      <c r="D9" s="2" t="s">
        <v>23</v>
      </c>
      <c r="E9" s="2">
        <v>6</v>
      </c>
      <c r="F9" s="4">
        <v>366000</v>
      </c>
    </row>
    <row r="10" spans="1:9" x14ac:dyDescent="0.4">
      <c r="A10" s="2" t="s">
        <v>149</v>
      </c>
      <c r="B10" s="2" t="s">
        <v>29</v>
      </c>
      <c r="C10" s="2" t="s">
        <v>22</v>
      </c>
      <c r="D10" s="2" t="s">
        <v>16</v>
      </c>
      <c r="E10" s="2">
        <v>2</v>
      </c>
      <c r="F10" s="4">
        <v>148000</v>
      </c>
    </row>
    <row r="11" spans="1:9" x14ac:dyDescent="0.4">
      <c r="A11" s="2" t="s">
        <v>150</v>
      </c>
      <c r="B11" s="2" t="s">
        <v>31</v>
      </c>
      <c r="C11" s="2" t="s">
        <v>19</v>
      </c>
      <c r="D11" s="2" t="s">
        <v>16</v>
      </c>
      <c r="E11" s="2">
        <v>7</v>
      </c>
      <c r="F11" s="4">
        <v>294000</v>
      </c>
    </row>
    <row r="12" spans="1:9" x14ac:dyDescent="0.4">
      <c r="A12" s="2" t="s">
        <v>151</v>
      </c>
      <c r="B12" s="2" t="s">
        <v>33</v>
      </c>
      <c r="C12" s="2" t="s">
        <v>15</v>
      </c>
      <c r="D12" s="2" t="s">
        <v>23</v>
      </c>
      <c r="E12" s="2">
        <v>3</v>
      </c>
      <c r="F12" s="4">
        <v>246000</v>
      </c>
    </row>
    <row r="13" spans="1:9" x14ac:dyDescent="0.4">
      <c r="A13" s="2" t="s">
        <v>152</v>
      </c>
      <c r="B13" s="2" t="s">
        <v>35</v>
      </c>
      <c r="C13" s="2" t="s">
        <v>11</v>
      </c>
      <c r="D13" s="2" t="s">
        <v>12</v>
      </c>
      <c r="E13" s="2">
        <v>8</v>
      </c>
      <c r="F13" s="4">
        <v>488000</v>
      </c>
    </row>
    <row r="14" spans="1:9" x14ac:dyDescent="0.4">
      <c r="A14" s="2" t="s">
        <v>153</v>
      </c>
      <c r="B14" s="2" t="s">
        <v>37</v>
      </c>
      <c r="C14" s="2" t="s">
        <v>22</v>
      </c>
      <c r="D14" s="2" t="s">
        <v>12</v>
      </c>
      <c r="E14" s="2">
        <v>5</v>
      </c>
      <c r="F14" s="4">
        <v>370000</v>
      </c>
    </row>
    <row r="15" spans="1:9" x14ac:dyDescent="0.4">
      <c r="A15" s="2" t="s">
        <v>154</v>
      </c>
      <c r="B15" s="2" t="s">
        <v>39</v>
      </c>
      <c r="C15" s="2" t="s">
        <v>19</v>
      </c>
      <c r="D15" s="2" t="s">
        <v>23</v>
      </c>
      <c r="E15" s="2">
        <v>4</v>
      </c>
      <c r="F15" s="4">
        <v>168000</v>
      </c>
    </row>
    <row r="18" spans="1:15" x14ac:dyDescent="0.4">
      <c r="A18" t="s">
        <v>155</v>
      </c>
      <c r="H18" t="s">
        <v>156</v>
      </c>
      <c r="N18" t="s">
        <v>157</v>
      </c>
    </row>
    <row r="19" spans="1:15" x14ac:dyDescent="0.4">
      <c r="A19" s="5" t="s">
        <v>2</v>
      </c>
      <c r="B19" s="5" t="s">
        <v>3</v>
      </c>
      <c r="C19" s="5" t="s">
        <v>158</v>
      </c>
      <c r="D19" s="5" t="s">
        <v>159</v>
      </c>
      <c r="E19" s="5" t="s">
        <v>160</v>
      </c>
      <c r="H19" s="5" t="s">
        <v>4</v>
      </c>
      <c r="I19" s="5" t="s">
        <v>3</v>
      </c>
      <c r="J19" s="5" t="s">
        <v>161</v>
      </c>
      <c r="K19" s="5" t="s">
        <v>6</v>
      </c>
      <c r="L19" s="5" t="s">
        <v>8</v>
      </c>
      <c r="N19" s="5" t="s">
        <v>4</v>
      </c>
      <c r="O19" s="5" t="s">
        <v>6</v>
      </c>
    </row>
    <row r="20" spans="1:15" x14ac:dyDescent="0.4">
      <c r="A20" s="2" t="s">
        <v>162</v>
      </c>
      <c r="B20" s="2" t="s">
        <v>15</v>
      </c>
      <c r="C20" s="2">
        <v>1</v>
      </c>
      <c r="D20" s="2">
        <v>24</v>
      </c>
      <c r="E20" s="4">
        <f t="shared" ref="E20:E29" si="0">fn보험료(B20,C20)</f>
        <v>25000</v>
      </c>
      <c r="H20" s="2" t="s">
        <v>12</v>
      </c>
      <c r="I20" s="2" t="s">
        <v>15</v>
      </c>
      <c r="J20" s="2" t="s">
        <v>163</v>
      </c>
      <c r="K20" s="2">
        <v>4</v>
      </c>
      <c r="L20" s="4">
        <v>328000</v>
      </c>
      <c r="N20" s="2" t="s">
        <v>12</v>
      </c>
      <c r="O20" s="2" t="s">
        <v>164</v>
      </c>
    </row>
    <row r="21" spans="1:15" x14ac:dyDescent="0.4">
      <c r="A21" s="2" t="s">
        <v>165</v>
      </c>
      <c r="B21" s="2" t="s">
        <v>19</v>
      </c>
      <c r="C21" s="2">
        <v>2</v>
      </c>
      <c r="D21" s="2">
        <v>27</v>
      </c>
      <c r="E21" s="4">
        <f t="shared" si="0"/>
        <v>18000</v>
      </c>
      <c r="H21" s="2" t="s">
        <v>16</v>
      </c>
      <c r="I21" s="2" t="s">
        <v>19</v>
      </c>
      <c r="J21" s="2" t="s">
        <v>166</v>
      </c>
      <c r="K21" s="2">
        <v>2</v>
      </c>
      <c r="L21" s="4">
        <v>84000</v>
      </c>
    </row>
    <row r="22" spans="1:15" x14ac:dyDescent="0.4">
      <c r="A22" s="2" t="s">
        <v>167</v>
      </c>
      <c r="B22" s="2" t="s">
        <v>22</v>
      </c>
      <c r="C22" s="2">
        <v>5</v>
      </c>
      <c r="D22" s="2">
        <v>31</v>
      </c>
      <c r="E22" s="4">
        <f t="shared" si="0"/>
        <v>18000</v>
      </c>
      <c r="H22" s="2" t="s">
        <v>12</v>
      </c>
      <c r="I22" s="2" t="s">
        <v>11</v>
      </c>
      <c r="J22" s="2" t="s">
        <v>168</v>
      </c>
      <c r="K22" s="2">
        <v>3</v>
      </c>
      <c r="L22" s="4">
        <v>183000</v>
      </c>
    </row>
    <row r="23" spans="1:15" x14ac:dyDescent="0.4">
      <c r="A23" s="2" t="s">
        <v>169</v>
      </c>
      <c r="B23" s="2" t="s">
        <v>11</v>
      </c>
      <c r="C23" s="2">
        <v>7</v>
      </c>
      <c r="D23" s="2">
        <v>35</v>
      </c>
      <c r="E23" s="4">
        <f t="shared" si="0"/>
        <v>12000</v>
      </c>
      <c r="H23" s="2" t="s">
        <v>23</v>
      </c>
      <c r="I23" s="2" t="s">
        <v>22</v>
      </c>
      <c r="J23" s="2" t="s">
        <v>163</v>
      </c>
      <c r="K23" s="2">
        <v>5</v>
      </c>
      <c r="L23" s="4">
        <v>370000</v>
      </c>
    </row>
    <row r="24" spans="1:15" x14ac:dyDescent="0.4">
      <c r="A24" s="2" t="s">
        <v>170</v>
      </c>
      <c r="B24" s="2" t="s">
        <v>15</v>
      </c>
      <c r="C24" s="2">
        <v>12</v>
      </c>
      <c r="D24" s="2">
        <v>41</v>
      </c>
      <c r="E24" s="4">
        <f t="shared" si="0"/>
        <v>10000</v>
      </c>
      <c r="H24" s="2" t="s">
        <v>12</v>
      </c>
      <c r="I24" s="2" t="s">
        <v>19</v>
      </c>
      <c r="J24" s="2" t="s">
        <v>163</v>
      </c>
      <c r="K24" s="2">
        <v>1</v>
      </c>
      <c r="L24" s="4">
        <v>42000</v>
      </c>
    </row>
    <row r="25" spans="1:15" x14ac:dyDescent="0.4">
      <c r="A25" s="2" t="s">
        <v>171</v>
      </c>
      <c r="B25" s="2" t="s">
        <v>19</v>
      </c>
      <c r="C25" s="2">
        <v>15</v>
      </c>
      <c r="D25" s="2">
        <v>46</v>
      </c>
      <c r="E25" s="4">
        <f t="shared" si="0"/>
        <v>10000</v>
      </c>
      <c r="H25" s="2" t="s">
        <v>16</v>
      </c>
      <c r="I25" s="2" t="s">
        <v>15</v>
      </c>
      <c r="J25" s="2" t="s">
        <v>168</v>
      </c>
      <c r="K25" s="2">
        <v>6</v>
      </c>
      <c r="L25" s="4">
        <v>492000</v>
      </c>
    </row>
    <row r="26" spans="1:15" x14ac:dyDescent="0.4">
      <c r="A26" s="2" t="s">
        <v>172</v>
      </c>
      <c r="B26" s="2" t="s">
        <v>22</v>
      </c>
      <c r="C26" s="2">
        <v>2</v>
      </c>
      <c r="D26" s="2">
        <v>25</v>
      </c>
      <c r="E26" s="4">
        <f t="shared" si="0"/>
        <v>25000</v>
      </c>
      <c r="H26" s="2" t="s">
        <v>12</v>
      </c>
      <c r="I26" s="2" t="s">
        <v>22</v>
      </c>
      <c r="J26" s="2" t="s">
        <v>166</v>
      </c>
      <c r="K26" s="2">
        <v>6</v>
      </c>
      <c r="L26" s="4">
        <v>444000</v>
      </c>
    </row>
    <row r="27" spans="1:15" x14ac:dyDescent="0.4">
      <c r="A27" s="2" t="s">
        <v>173</v>
      </c>
      <c r="B27" s="2" t="s">
        <v>11</v>
      </c>
      <c r="C27" s="2">
        <v>4</v>
      </c>
      <c r="D27" s="2">
        <v>29</v>
      </c>
      <c r="E27" s="4">
        <f t="shared" si="0"/>
        <v>12000</v>
      </c>
      <c r="H27" s="2" t="s">
        <v>23</v>
      </c>
      <c r="I27" s="2" t="s">
        <v>11</v>
      </c>
      <c r="J27" s="2" t="s">
        <v>163</v>
      </c>
      <c r="K27" s="2">
        <v>2</v>
      </c>
      <c r="L27" s="4">
        <v>122000</v>
      </c>
    </row>
    <row r="28" spans="1:15" x14ac:dyDescent="0.4">
      <c r="A28" s="2" t="s">
        <v>174</v>
      </c>
      <c r="B28" s="2" t="s">
        <v>15</v>
      </c>
      <c r="C28" s="2">
        <v>9</v>
      </c>
      <c r="D28" s="2">
        <v>38</v>
      </c>
      <c r="E28" s="4">
        <f t="shared" si="0"/>
        <v>18000</v>
      </c>
      <c r="H28" s="2" t="s">
        <v>12</v>
      </c>
      <c r="I28" s="2" t="s">
        <v>11</v>
      </c>
      <c r="J28" s="2" t="s">
        <v>163</v>
      </c>
      <c r="K28" s="2">
        <v>5</v>
      </c>
      <c r="L28" s="4">
        <v>305000</v>
      </c>
    </row>
    <row r="29" spans="1:15" x14ac:dyDescent="0.4">
      <c r="A29" s="2" t="s">
        <v>175</v>
      </c>
      <c r="B29" s="2" t="s">
        <v>11</v>
      </c>
      <c r="C29" s="2">
        <v>1</v>
      </c>
      <c r="D29" s="2">
        <v>22</v>
      </c>
      <c r="E29" s="4">
        <f t="shared" si="0"/>
        <v>18000</v>
      </c>
      <c r="H29" s="2" t="s">
        <v>16</v>
      </c>
      <c r="I29" s="2" t="s">
        <v>22</v>
      </c>
      <c r="J29" s="2" t="s">
        <v>163</v>
      </c>
      <c r="K29" s="2">
        <v>3</v>
      </c>
      <c r="L29" s="4">
        <v>222000</v>
      </c>
    </row>
    <row r="30" spans="1:15" x14ac:dyDescent="0.4">
      <c r="H30" s="2" t="s">
        <v>12</v>
      </c>
      <c r="I30" s="2" t="s">
        <v>15</v>
      </c>
      <c r="J30" s="2" t="s">
        <v>168</v>
      </c>
      <c r="K30" s="2">
        <v>3</v>
      </c>
      <c r="L30" s="4">
        <v>246000</v>
      </c>
    </row>
    <row r="31" spans="1:15" x14ac:dyDescent="0.4">
      <c r="H31" s="2" t="s">
        <v>23</v>
      </c>
      <c r="I31" s="2" t="s">
        <v>19</v>
      </c>
      <c r="J31" s="2" t="s">
        <v>166</v>
      </c>
      <c r="K31" s="2">
        <v>4</v>
      </c>
      <c r="L31" s="4">
        <v>168000</v>
      </c>
    </row>
    <row r="32" spans="1:15" x14ac:dyDescent="0.4">
      <c r="H32" s="2"/>
      <c r="I32" s="2"/>
      <c r="J32" s="2" t="s">
        <v>176</v>
      </c>
      <c r="K32" s="2"/>
      <c r="L32" s="4">
        <f>ROUNDDOWN(DAVERAGE(H19:L31,L19,N19:O20),-3)</f>
        <v>301000</v>
      </c>
    </row>
    <row r="34" spans="1:12" x14ac:dyDescent="0.4">
      <c r="A34" t="s">
        <v>177</v>
      </c>
      <c r="H34" t="s">
        <v>178</v>
      </c>
    </row>
    <row r="35" spans="1:12" x14ac:dyDescent="0.4">
      <c r="A35" s="5" t="s">
        <v>1</v>
      </c>
      <c r="B35" s="5" t="s">
        <v>3</v>
      </c>
      <c r="C35" s="5" t="s">
        <v>6</v>
      </c>
      <c r="D35" s="5" t="s">
        <v>8</v>
      </c>
      <c r="H35" s="5" t="s">
        <v>3</v>
      </c>
      <c r="I35" s="6">
        <v>1</v>
      </c>
      <c r="J35" s="6">
        <v>3</v>
      </c>
      <c r="K35" s="6">
        <v>7</v>
      </c>
      <c r="L35" s="6">
        <v>15</v>
      </c>
    </row>
    <row r="36" spans="1:12" x14ac:dyDescent="0.4">
      <c r="A36" s="2" t="s">
        <v>179</v>
      </c>
      <c r="B36" s="2" t="s">
        <v>19</v>
      </c>
      <c r="C36" s="2">
        <v>2</v>
      </c>
      <c r="D36" s="4">
        <f t="shared" ref="D36:D43" ca="1" si="1">OFFSET($H$35,MATCH(B36,$H$36:$H$39,0),MATCH(C36,$I$35:$L$35,1))*C36</f>
        <v>84000</v>
      </c>
      <c r="H36" s="2" t="s">
        <v>19</v>
      </c>
      <c r="I36" s="4">
        <v>42000</v>
      </c>
      <c r="J36" s="4">
        <v>39000</v>
      </c>
      <c r="K36" s="4">
        <v>35000</v>
      </c>
      <c r="L36" s="4">
        <v>30000</v>
      </c>
    </row>
    <row r="37" spans="1:12" x14ac:dyDescent="0.4">
      <c r="A37" s="2" t="s">
        <v>180</v>
      </c>
      <c r="B37" s="2" t="s">
        <v>15</v>
      </c>
      <c r="C37" s="2">
        <v>9</v>
      </c>
      <c r="D37" s="4">
        <f t="shared" ca="1" si="1"/>
        <v>630000</v>
      </c>
      <c r="H37" s="2" t="s">
        <v>11</v>
      </c>
      <c r="I37" s="4">
        <v>61000</v>
      </c>
      <c r="J37" s="4">
        <v>57000</v>
      </c>
      <c r="K37" s="4">
        <v>52000</v>
      </c>
      <c r="L37" s="4">
        <v>46000</v>
      </c>
    </row>
    <row r="38" spans="1:12" x14ac:dyDescent="0.4">
      <c r="A38" s="2" t="s">
        <v>181</v>
      </c>
      <c r="B38" s="2" t="s">
        <v>11</v>
      </c>
      <c r="C38" s="2">
        <v>5</v>
      </c>
      <c r="D38" s="4">
        <f t="shared" ca="1" si="1"/>
        <v>285000</v>
      </c>
      <c r="H38" s="2" t="s">
        <v>15</v>
      </c>
      <c r="I38" s="4">
        <v>82000</v>
      </c>
      <c r="J38" s="4">
        <v>77000</v>
      </c>
      <c r="K38" s="4">
        <v>70000</v>
      </c>
      <c r="L38" s="4">
        <v>62000</v>
      </c>
    </row>
    <row r="39" spans="1:12" x14ac:dyDescent="0.4">
      <c r="A39" s="2" t="s">
        <v>182</v>
      </c>
      <c r="B39" s="2" t="s">
        <v>22</v>
      </c>
      <c r="C39" s="2">
        <v>15</v>
      </c>
      <c r="D39" s="4">
        <f t="shared" ca="1" si="1"/>
        <v>840000</v>
      </c>
      <c r="H39" s="2" t="s">
        <v>22</v>
      </c>
      <c r="I39" s="4">
        <v>74000</v>
      </c>
      <c r="J39" s="4">
        <v>69000</v>
      </c>
      <c r="K39" s="4">
        <v>63000</v>
      </c>
      <c r="L39" s="4">
        <v>56000</v>
      </c>
    </row>
    <row r="40" spans="1:12" x14ac:dyDescent="0.4">
      <c r="A40" s="2" t="s">
        <v>183</v>
      </c>
      <c r="B40" s="2" t="s">
        <v>19</v>
      </c>
      <c r="C40" s="2">
        <v>21</v>
      </c>
      <c r="D40" s="4">
        <f t="shared" ca="1" si="1"/>
        <v>630000</v>
      </c>
    </row>
    <row r="41" spans="1:12" x14ac:dyDescent="0.4">
      <c r="A41" s="2" t="s">
        <v>184</v>
      </c>
      <c r="B41" s="2" t="s">
        <v>11</v>
      </c>
      <c r="C41" s="2">
        <v>1</v>
      </c>
      <c r="D41" s="4">
        <f t="shared" ca="1" si="1"/>
        <v>61000</v>
      </c>
    </row>
    <row r="42" spans="1:12" x14ac:dyDescent="0.4">
      <c r="A42" s="2" t="s">
        <v>185</v>
      </c>
      <c r="B42" s="2" t="s">
        <v>15</v>
      </c>
      <c r="C42" s="2">
        <v>3</v>
      </c>
      <c r="D42" s="4">
        <f t="shared" ca="1" si="1"/>
        <v>231000</v>
      </c>
    </row>
    <row r="43" spans="1:12" x14ac:dyDescent="0.4">
      <c r="A43" s="2" t="s">
        <v>186</v>
      </c>
      <c r="B43" s="2" t="s">
        <v>22</v>
      </c>
      <c r="C43" s="2">
        <v>7</v>
      </c>
      <c r="D43" s="4">
        <f t="shared" ca="1" si="1"/>
        <v>441000</v>
      </c>
    </row>
    <row r="46" spans="1:12" x14ac:dyDescent="0.4">
      <c r="A46" t="s">
        <v>187</v>
      </c>
    </row>
    <row r="47" spans="1:12" x14ac:dyDescent="0.4">
      <c r="A47" s="5" t="s">
        <v>188</v>
      </c>
      <c r="B47" s="5" t="s">
        <v>2</v>
      </c>
      <c r="C47" s="5" t="s">
        <v>189</v>
      </c>
      <c r="D47" s="5" t="s">
        <v>190</v>
      </c>
    </row>
    <row r="48" spans="1:12" x14ac:dyDescent="0.4">
      <c r="A48" s="2" t="s">
        <v>191</v>
      </c>
      <c r="B48" s="2" t="s">
        <v>162</v>
      </c>
      <c r="C48" s="2">
        <v>92</v>
      </c>
      <c r="D48" s="2" t="str">
        <f t="shared" ref="D48:D57" si="2">IF(C48&gt;=_xlfn.QUARTILE.INC($C$48:$C$57,3),"우수 고객",IF(C48&lt;=_xlfn.QUARTILE.INC($C$48:$C$57,1),"관리 대상",""))</f>
        <v>우수 고객</v>
      </c>
    </row>
    <row r="49" spans="1:4" x14ac:dyDescent="0.4">
      <c r="A49" s="2" t="s">
        <v>192</v>
      </c>
      <c r="B49" s="2" t="s">
        <v>165</v>
      </c>
      <c r="C49" s="2">
        <v>71</v>
      </c>
      <c r="D49" s="2" t="str">
        <f t="shared" si="2"/>
        <v/>
      </c>
    </row>
    <row r="50" spans="1:4" x14ac:dyDescent="0.4">
      <c r="A50" s="2" t="s">
        <v>193</v>
      </c>
      <c r="B50" s="2" t="s">
        <v>167</v>
      </c>
      <c r="C50" s="2">
        <v>84</v>
      </c>
      <c r="D50" s="2" t="str">
        <f t="shared" si="2"/>
        <v/>
      </c>
    </row>
    <row r="51" spans="1:4" x14ac:dyDescent="0.4">
      <c r="A51" s="2" t="s">
        <v>194</v>
      </c>
      <c r="B51" s="2" t="s">
        <v>169</v>
      </c>
      <c r="C51" s="2">
        <v>58</v>
      </c>
      <c r="D51" s="2" t="str">
        <f t="shared" si="2"/>
        <v>관리 대상</v>
      </c>
    </row>
    <row r="52" spans="1:4" x14ac:dyDescent="0.4">
      <c r="A52" s="2" t="s">
        <v>195</v>
      </c>
      <c r="B52" s="2" t="s">
        <v>170</v>
      </c>
      <c r="C52" s="2">
        <v>77</v>
      </c>
      <c r="D52" s="2" t="str">
        <f t="shared" si="2"/>
        <v/>
      </c>
    </row>
    <row r="53" spans="1:4" x14ac:dyDescent="0.4">
      <c r="A53" s="2" t="s">
        <v>196</v>
      </c>
      <c r="B53" s="2" t="s">
        <v>171</v>
      </c>
      <c r="C53" s="2">
        <v>96</v>
      </c>
      <c r="D53" s="2" t="str">
        <f t="shared" si="2"/>
        <v>우수 고객</v>
      </c>
    </row>
    <row r="54" spans="1:4" x14ac:dyDescent="0.4">
      <c r="A54" s="2" t="s">
        <v>197</v>
      </c>
      <c r="B54" s="2" t="s">
        <v>172</v>
      </c>
      <c r="C54" s="2">
        <v>63</v>
      </c>
      <c r="D54" s="2" t="str">
        <f t="shared" si="2"/>
        <v>관리 대상</v>
      </c>
    </row>
    <row r="55" spans="1:4" x14ac:dyDescent="0.4">
      <c r="A55" s="2" t="s">
        <v>198</v>
      </c>
      <c r="B55" s="2" t="s">
        <v>173</v>
      </c>
      <c r="C55" s="2">
        <v>88</v>
      </c>
      <c r="D55" s="2" t="str">
        <f t="shared" si="2"/>
        <v>우수 고객</v>
      </c>
    </row>
    <row r="56" spans="1:4" x14ac:dyDescent="0.4">
      <c r="A56" s="2" t="s">
        <v>199</v>
      </c>
      <c r="B56" s="2" t="s">
        <v>174</v>
      </c>
      <c r="C56" s="2">
        <v>69</v>
      </c>
      <c r="D56" s="2" t="str">
        <f t="shared" si="2"/>
        <v>관리 대상</v>
      </c>
    </row>
    <row r="57" spans="1:4" x14ac:dyDescent="0.4">
      <c r="A57" s="2" t="s">
        <v>200</v>
      </c>
      <c r="B57" s="2" t="s">
        <v>175</v>
      </c>
      <c r="C57" s="2">
        <v>80</v>
      </c>
      <c r="D57" s="2" t="str">
        <f t="shared" si="2"/>
        <v/>
      </c>
    </row>
  </sheetData>
  <phoneticPr fontId="4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workbookViewId="0"/>
  </sheetViews>
  <sheetFormatPr defaultRowHeight="17.399999999999999" x14ac:dyDescent="0.4"/>
  <cols>
    <col min="1" max="1" width="12.296875" bestFit="1" customWidth="1"/>
    <col min="2" max="5" width="7.796875" bestFit="1" customWidth="1"/>
    <col min="6" max="6" width="7.8984375" bestFit="1" customWidth="1"/>
  </cols>
  <sheetData>
    <row r="1" spans="1:5" x14ac:dyDescent="0.4">
      <c r="A1" s="13" t="s">
        <v>161</v>
      </c>
      <c r="B1" s="10" t="s" vm="1">
        <v>224</v>
      </c>
    </row>
    <row r="3" spans="1:5" x14ac:dyDescent="0.4">
      <c r="A3" s="13" t="s">
        <v>225</v>
      </c>
      <c r="B3" s="13" t="s">
        <v>3</v>
      </c>
    </row>
    <row r="4" spans="1:5" x14ac:dyDescent="0.4">
      <c r="A4" s="13" t="s">
        <v>4</v>
      </c>
      <c r="B4" s="10" t="s">
        <v>15</v>
      </c>
      <c r="C4" s="10" t="s">
        <v>19</v>
      </c>
      <c r="D4" s="10" t="s">
        <v>22</v>
      </c>
      <c r="E4" s="10" t="s">
        <v>11</v>
      </c>
    </row>
    <row r="5" spans="1:5" x14ac:dyDescent="0.4">
      <c r="A5" s="10" t="s">
        <v>12</v>
      </c>
      <c r="B5" s="9">
        <v>437333.33333333331</v>
      </c>
      <c r="C5" s="9">
        <v>147000</v>
      </c>
      <c r="D5" s="9">
        <v>320666.66666666669</v>
      </c>
      <c r="E5" s="9">
        <v>305000</v>
      </c>
    </row>
    <row r="6" spans="1:5" x14ac:dyDescent="0.4">
      <c r="A6" s="10" t="s">
        <v>16</v>
      </c>
      <c r="B6" s="9">
        <v>191333.33333333334</v>
      </c>
      <c r="C6" s="9">
        <v>210000</v>
      </c>
      <c r="D6" s="9">
        <v>555000</v>
      </c>
      <c r="E6" s="9">
        <v>284666.66666666669</v>
      </c>
    </row>
    <row r="7" spans="1:5" x14ac:dyDescent="0.4">
      <c r="A7" s="10" t="s">
        <v>23</v>
      </c>
      <c r="B7" s="9">
        <v>246000</v>
      </c>
      <c r="C7" s="9">
        <v>126000</v>
      </c>
      <c r="D7" s="9">
        <v>345333.33333333331</v>
      </c>
      <c r="E7" s="9">
        <v>305000</v>
      </c>
    </row>
  </sheetData>
  <phoneticPr fontId="4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7"/>
  <sheetViews>
    <sheetView workbookViewId="0"/>
  </sheetViews>
  <sheetFormatPr defaultRowHeight="17.399999999999999" x14ac:dyDescent="0.4"/>
  <cols>
    <col min="1" max="1" width="9" customWidth="1"/>
    <col min="2" max="2" width="14" customWidth="1"/>
    <col min="3" max="7" width="12" customWidth="1"/>
  </cols>
  <sheetData>
    <row r="1" spans="1:7" ht="20.399999999999999" x14ac:dyDescent="0.45">
      <c r="A1" s="7" t="s">
        <v>201</v>
      </c>
    </row>
    <row r="3" spans="1:7" x14ac:dyDescent="0.4">
      <c r="B3" s="5" t="s">
        <v>202</v>
      </c>
      <c r="C3" s="5" t="s">
        <v>203</v>
      </c>
    </row>
    <row r="4" spans="1:7" x14ac:dyDescent="0.4">
      <c r="B4" s="2" t="s">
        <v>204</v>
      </c>
      <c r="C4" s="4">
        <v>74000</v>
      </c>
    </row>
    <row r="5" spans="1:7" x14ac:dyDescent="0.4">
      <c r="B5" s="2" t="s">
        <v>205</v>
      </c>
      <c r="C5" s="4">
        <v>220</v>
      </c>
    </row>
    <row r="6" spans="1:7" x14ac:dyDescent="0.4">
      <c r="B6" s="2" t="s">
        <v>206</v>
      </c>
      <c r="C6" s="4">
        <f>C4*C5</f>
        <v>16280000</v>
      </c>
    </row>
    <row r="7" spans="1:7" x14ac:dyDescent="0.4">
      <c r="B7" s="2" t="s">
        <v>207</v>
      </c>
      <c r="C7" s="4">
        <v>5800000</v>
      </c>
    </row>
    <row r="8" spans="1:7" x14ac:dyDescent="0.4">
      <c r="B8" s="2" t="s">
        <v>208</v>
      </c>
      <c r="C8" s="4">
        <f>C6-C7</f>
        <v>10480000</v>
      </c>
    </row>
    <row r="10" spans="1:7" x14ac:dyDescent="0.4">
      <c r="B10" s="8" t="s">
        <v>209</v>
      </c>
      <c r="D10" t="s">
        <v>204</v>
      </c>
    </row>
    <row r="11" spans="1:7" x14ac:dyDescent="0.4">
      <c r="B11" s="4">
        <f>C8</f>
        <v>10480000</v>
      </c>
      <c r="C11" s="4">
        <v>60000</v>
      </c>
      <c r="D11" s="4">
        <v>70000</v>
      </c>
      <c r="E11" s="4">
        <v>80000</v>
      </c>
      <c r="F11" s="4">
        <v>90000</v>
      </c>
      <c r="G11" s="4">
        <v>100000</v>
      </c>
    </row>
    <row r="12" spans="1:7" x14ac:dyDescent="0.4">
      <c r="A12" t="s">
        <v>210</v>
      </c>
      <c r="B12" s="2">
        <v>180</v>
      </c>
      <c r="C12" s="4">
        <f t="dataTable" ref="C12:G17" dt2D="1" dtr="1" r1="C4" r2="C5"/>
        <v>5000000</v>
      </c>
      <c r="D12" s="4">
        <v>6800000</v>
      </c>
      <c r="E12" s="4">
        <v>8600000</v>
      </c>
      <c r="F12" s="4">
        <v>10400000</v>
      </c>
      <c r="G12" s="4">
        <v>12200000</v>
      </c>
    </row>
    <row r="13" spans="1:7" x14ac:dyDescent="0.4">
      <c r="A13" t="s">
        <v>6</v>
      </c>
      <c r="B13" s="2">
        <v>200</v>
      </c>
      <c r="C13" s="4">
        <v>6200000</v>
      </c>
      <c r="D13" s="4">
        <v>8200000</v>
      </c>
      <c r="E13" s="4">
        <v>10200000</v>
      </c>
      <c r="F13" s="4">
        <v>12200000</v>
      </c>
      <c r="G13" s="4">
        <v>14200000</v>
      </c>
    </row>
    <row r="14" spans="1:7" x14ac:dyDescent="0.4">
      <c r="B14" s="2">
        <v>220</v>
      </c>
      <c r="C14" s="4">
        <v>7400000</v>
      </c>
      <c r="D14" s="4">
        <v>9600000</v>
      </c>
      <c r="E14" s="4">
        <v>11800000</v>
      </c>
      <c r="F14" s="4">
        <v>14000000</v>
      </c>
      <c r="G14" s="4">
        <v>16200000</v>
      </c>
    </row>
    <row r="15" spans="1:7" x14ac:dyDescent="0.4">
      <c r="B15" s="2">
        <v>240</v>
      </c>
      <c r="C15" s="4">
        <v>8600000</v>
      </c>
      <c r="D15" s="4">
        <v>11000000</v>
      </c>
      <c r="E15" s="4">
        <v>13400000</v>
      </c>
      <c r="F15" s="4">
        <v>15800000</v>
      </c>
      <c r="G15" s="4">
        <v>18200000</v>
      </c>
    </row>
    <row r="16" spans="1:7" x14ac:dyDescent="0.4">
      <c r="B16" s="2">
        <v>260</v>
      </c>
      <c r="C16" s="4">
        <v>9800000</v>
      </c>
      <c r="D16" s="4">
        <v>12400000</v>
      </c>
      <c r="E16" s="4">
        <v>15000000</v>
      </c>
      <c r="F16" s="4">
        <v>17600000</v>
      </c>
      <c r="G16" s="4">
        <v>20200000</v>
      </c>
    </row>
    <row r="17" spans="2:7" x14ac:dyDescent="0.4">
      <c r="B17" s="2">
        <v>280</v>
      </c>
      <c r="C17" s="4">
        <v>11000000</v>
      </c>
      <c r="D17" s="4">
        <v>13800000</v>
      </c>
      <c r="E17" s="4">
        <v>16600000</v>
      </c>
      <c r="F17" s="4">
        <v>19400000</v>
      </c>
      <c r="G17" s="4">
        <v>22200000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9"/>
  <sheetViews>
    <sheetView workbookViewId="0"/>
  </sheetViews>
  <sheetFormatPr defaultRowHeight="17.399999999999999" x14ac:dyDescent="0.4"/>
  <sheetData>
    <row r="1" spans="1:5" ht="20.399999999999999" x14ac:dyDescent="0.45">
      <c r="A1" s="7" t="s">
        <v>211</v>
      </c>
    </row>
    <row r="3" spans="1:5" x14ac:dyDescent="0.4">
      <c r="A3" s="5" t="s">
        <v>4</v>
      </c>
      <c r="B3" s="5" t="s">
        <v>19</v>
      </c>
      <c r="C3" s="5" t="s">
        <v>11</v>
      </c>
      <c r="D3" s="5" t="s">
        <v>15</v>
      </c>
      <c r="E3" s="5" t="s">
        <v>22</v>
      </c>
    </row>
    <row r="4" spans="1:5" x14ac:dyDescent="0.4">
      <c r="A4" s="2" t="s">
        <v>12</v>
      </c>
      <c r="B4" s="4">
        <v>820</v>
      </c>
      <c r="C4" s="4">
        <v>1240</v>
      </c>
      <c r="D4" s="4">
        <v>1580</v>
      </c>
      <c r="E4" s="4">
        <v>960</v>
      </c>
    </row>
    <row r="5" spans="1:5" x14ac:dyDescent="0.4">
      <c r="A5" s="2" t="s">
        <v>16</v>
      </c>
      <c r="B5" s="4">
        <v>640</v>
      </c>
      <c r="C5" s="4">
        <v>980</v>
      </c>
      <c r="D5" s="4">
        <v>1720</v>
      </c>
      <c r="E5" s="4">
        <v>1130</v>
      </c>
    </row>
    <row r="6" spans="1:5" x14ac:dyDescent="0.4">
      <c r="A6" s="2" t="s">
        <v>23</v>
      </c>
      <c r="B6" s="4">
        <v>710</v>
      </c>
      <c r="C6" s="4">
        <v>1360</v>
      </c>
      <c r="D6" s="4">
        <v>1190</v>
      </c>
      <c r="E6" s="4">
        <v>870</v>
      </c>
    </row>
    <row r="7" spans="1:5" x14ac:dyDescent="0.4">
      <c r="A7" s="2" t="s">
        <v>212</v>
      </c>
      <c r="B7" s="4">
        <v>580</v>
      </c>
      <c r="C7" s="4">
        <v>1110</v>
      </c>
      <c r="D7" s="4">
        <v>1050</v>
      </c>
      <c r="E7" s="4">
        <v>1240</v>
      </c>
    </row>
    <row r="8" spans="1:5" x14ac:dyDescent="0.4">
      <c r="A8" s="2" t="s">
        <v>213</v>
      </c>
      <c r="B8" s="4">
        <v>450</v>
      </c>
      <c r="C8" s="4">
        <v>760</v>
      </c>
      <c r="D8" s="4">
        <v>1310</v>
      </c>
      <c r="E8" s="4">
        <v>690</v>
      </c>
    </row>
    <row r="9" spans="1:5" x14ac:dyDescent="0.4">
      <c r="A9" s="2" t="s">
        <v>214</v>
      </c>
      <c r="B9" s="4">
        <v>390</v>
      </c>
      <c r="C9" s="4">
        <v>820</v>
      </c>
      <c r="D9" s="4">
        <v>940</v>
      </c>
      <c r="E9" s="4">
        <v>560</v>
      </c>
    </row>
  </sheetData>
  <phoneticPr fontId="4" type="noConversion"/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/>
  </sheetViews>
  <sheetFormatPr defaultRowHeight="17.399999999999999" x14ac:dyDescent="0.4"/>
  <sheetData>
    <row r="1" spans="1:6" ht="20.399999999999999" x14ac:dyDescent="0.45">
      <c r="A1" s="7" t="s">
        <v>215</v>
      </c>
    </row>
    <row r="3" spans="1:6" x14ac:dyDescent="0.4">
      <c r="A3" s="15" t="s">
        <v>4</v>
      </c>
      <c r="B3" s="15" t="s">
        <v>216</v>
      </c>
      <c r="C3" s="15" t="s">
        <v>217</v>
      </c>
      <c r="D3" s="15" t="s">
        <v>218</v>
      </c>
      <c r="E3" s="15" t="s">
        <v>219</v>
      </c>
      <c r="F3" s="15" t="s">
        <v>220</v>
      </c>
    </row>
    <row r="4" spans="1:6" x14ac:dyDescent="0.4">
      <c r="A4" s="2" t="s">
        <v>12</v>
      </c>
      <c r="B4" s="4">
        <v>9000</v>
      </c>
      <c r="C4" s="4">
        <v>2650</v>
      </c>
      <c r="D4" s="4">
        <v>3120</v>
      </c>
      <c r="E4" s="4">
        <v>3480</v>
      </c>
      <c r="F4" s="14">
        <f t="shared" ref="F4:F11" si="0">SUM(C4:E4)/B4</f>
        <v>1.0277777777777777</v>
      </c>
    </row>
    <row r="5" spans="1:6" x14ac:dyDescent="0.4">
      <c r="A5" s="2" t="s">
        <v>16</v>
      </c>
      <c r="B5" s="4">
        <v>8500</v>
      </c>
      <c r="C5" s="4">
        <v>2410</v>
      </c>
      <c r="D5" s="4">
        <v>2980</v>
      </c>
      <c r="E5" s="4">
        <v>2730</v>
      </c>
      <c r="F5" s="14">
        <f t="shared" si="0"/>
        <v>0.95529411764705885</v>
      </c>
    </row>
    <row r="6" spans="1:6" x14ac:dyDescent="0.4">
      <c r="A6" s="2" t="s">
        <v>23</v>
      </c>
      <c r="B6" s="4">
        <v>7800</v>
      </c>
      <c r="C6" s="4">
        <v>2290</v>
      </c>
      <c r="D6" s="4">
        <v>2510</v>
      </c>
      <c r="E6" s="4">
        <v>2640</v>
      </c>
      <c r="F6" s="14">
        <f t="shared" si="0"/>
        <v>0.9538461538461539</v>
      </c>
    </row>
    <row r="7" spans="1:6" x14ac:dyDescent="0.4">
      <c r="A7" s="2" t="s">
        <v>212</v>
      </c>
      <c r="B7" s="4">
        <v>7200</v>
      </c>
      <c r="C7" s="4">
        <v>2080</v>
      </c>
      <c r="D7" s="4">
        <v>2390</v>
      </c>
      <c r="E7" s="4">
        <v>2910</v>
      </c>
      <c r="F7" s="14">
        <f t="shared" si="0"/>
        <v>1.0249999999999999</v>
      </c>
    </row>
    <row r="8" spans="1:6" x14ac:dyDescent="0.4">
      <c r="A8" s="2" t="s">
        <v>213</v>
      </c>
      <c r="B8" s="4">
        <v>6000</v>
      </c>
      <c r="C8" s="4">
        <v>1720</v>
      </c>
      <c r="D8" s="4">
        <v>2050</v>
      </c>
      <c r="E8" s="4">
        <v>1980</v>
      </c>
      <c r="F8" s="14">
        <f t="shared" si="0"/>
        <v>0.95833333333333337</v>
      </c>
    </row>
    <row r="9" spans="1:6" x14ac:dyDescent="0.4">
      <c r="A9" s="2" t="s">
        <v>214</v>
      </c>
      <c r="B9" s="4">
        <v>5400</v>
      </c>
      <c r="C9" s="4">
        <v>1490</v>
      </c>
      <c r="D9" s="4">
        <v>1810</v>
      </c>
      <c r="E9" s="4">
        <v>1950</v>
      </c>
      <c r="F9" s="14">
        <f t="shared" si="0"/>
        <v>0.97222222222222221</v>
      </c>
    </row>
    <row r="10" spans="1:6" x14ac:dyDescent="0.4">
      <c r="A10" s="2" t="s">
        <v>221</v>
      </c>
      <c r="B10" s="4">
        <v>4800</v>
      </c>
      <c r="C10" s="4">
        <v>1380</v>
      </c>
      <c r="D10" s="4">
        <v>1720</v>
      </c>
      <c r="E10" s="4">
        <v>1610</v>
      </c>
      <c r="F10" s="14">
        <f t="shared" si="0"/>
        <v>0.98124999999999996</v>
      </c>
    </row>
    <row r="11" spans="1:6" x14ac:dyDescent="0.4">
      <c r="A11" s="2" t="s">
        <v>222</v>
      </c>
      <c r="B11" s="4">
        <v>6600</v>
      </c>
      <c r="C11" s="4">
        <v>2140</v>
      </c>
      <c r="D11" s="4">
        <v>2330</v>
      </c>
      <c r="E11" s="4">
        <v>2210</v>
      </c>
      <c r="F11" s="14">
        <f t="shared" si="0"/>
        <v>1.0121212121212122</v>
      </c>
    </row>
  </sheetData>
  <phoneticPr fontId="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달성률계산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서식적용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0"/>
  <sheetViews>
    <sheetView workbookViewId="0"/>
  </sheetViews>
  <sheetFormatPr defaultRowHeight="17.399999999999999" x14ac:dyDescent="0.4"/>
  <cols>
    <col min="1" max="1" width="10" customWidth="1"/>
    <col min="2" max="2" width="9" customWidth="1"/>
    <col min="3" max="3" width="8" customWidth="1"/>
    <col min="4" max="4" width="9" customWidth="1"/>
    <col min="5" max="5" width="10" customWidth="1"/>
    <col min="6" max="6" width="11" customWidth="1"/>
    <col min="8" max="8" width="10" customWidth="1"/>
    <col min="9" max="9" width="12" customWidth="1"/>
  </cols>
  <sheetData>
    <row r="1" spans="1:9" ht="25.2" x14ac:dyDescent="0.55000000000000004">
      <c r="A1" s="16" t="s">
        <v>223</v>
      </c>
      <c r="I1" s="17">
        <v>46299</v>
      </c>
    </row>
    <row r="3" spans="1:9" x14ac:dyDescent="0.4">
      <c r="A3" s="5" t="s">
        <v>1</v>
      </c>
      <c r="B3" s="5" t="s">
        <v>2</v>
      </c>
      <c r="C3" s="5" t="s">
        <v>3</v>
      </c>
      <c r="D3" s="5" t="s">
        <v>6</v>
      </c>
      <c r="E3" s="5" t="s">
        <v>7</v>
      </c>
      <c r="F3" s="5" t="s">
        <v>8</v>
      </c>
    </row>
    <row r="4" spans="1:9" x14ac:dyDescent="0.4">
      <c r="A4" s="2">
        <v>1001</v>
      </c>
      <c r="B4" s="2" t="s">
        <v>10</v>
      </c>
      <c r="C4" s="2" t="s">
        <v>11</v>
      </c>
      <c r="D4" s="2">
        <v>3</v>
      </c>
      <c r="E4" s="4">
        <v>61000</v>
      </c>
      <c r="F4" s="4">
        <v>183000</v>
      </c>
    </row>
    <row r="5" spans="1:9" x14ac:dyDescent="0.4">
      <c r="A5" s="2">
        <v>1002</v>
      </c>
      <c r="B5" s="2" t="s">
        <v>14</v>
      </c>
      <c r="C5" s="2" t="s">
        <v>15</v>
      </c>
      <c r="D5" s="2">
        <v>5</v>
      </c>
      <c r="E5" s="4">
        <v>82000</v>
      </c>
      <c r="F5" s="4">
        <v>410000</v>
      </c>
    </row>
    <row r="6" spans="1:9" x14ac:dyDescent="0.4">
      <c r="A6" s="2">
        <v>1003</v>
      </c>
      <c r="B6" s="2" t="s">
        <v>18</v>
      </c>
      <c r="C6" s="2" t="s">
        <v>19</v>
      </c>
      <c r="D6" s="2">
        <v>2</v>
      </c>
      <c r="E6" s="4">
        <v>42000</v>
      </c>
      <c r="F6" s="4">
        <v>84000</v>
      </c>
    </row>
    <row r="7" spans="1:9" x14ac:dyDescent="0.4">
      <c r="A7" s="2">
        <v>1004</v>
      </c>
      <c r="B7" s="2" t="s">
        <v>21</v>
      </c>
      <c r="C7" s="2" t="s">
        <v>22</v>
      </c>
      <c r="D7" s="2">
        <v>4</v>
      </c>
      <c r="E7" s="4">
        <v>74000</v>
      </c>
      <c r="F7" s="4">
        <v>296000</v>
      </c>
    </row>
    <row r="8" spans="1:9" x14ac:dyDescent="0.4">
      <c r="A8" s="2">
        <v>1005</v>
      </c>
      <c r="B8" s="2" t="s">
        <v>25</v>
      </c>
      <c r="C8" s="2" t="s">
        <v>15</v>
      </c>
      <c r="D8" s="2">
        <v>2</v>
      </c>
      <c r="E8" s="4">
        <v>82000</v>
      </c>
      <c r="F8" s="4">
        <v>164000</v>
      </c>
    </row>
    <row r="9" spans="1:9" x14ac:dyDescent="0.4">
      <c r="A9">
        <v>1006</v>
      </c>
      <c r="B9" t="s">
        <v>162</v>
      </c>
      <c r="C9" t="s">
        <v>22</v>
      </c>
      <c r="D9">
        <v>6</v>
      </c>
      <c r="E9" s="9">
        <v>74000</v>
      </c>
      <c r="F9" s="9">
        <v>444000</v>
      </c>
    </row>
    <row r="10" spans="1:9" x14ac:dyDescent="0.4">
      <c r="E10" s="9"/>
      <c r="F10" s="9"/>
    </row>
    <row r="11" spans="1:9" x14ac:dyDescent="0.4">
      <c r="E11" s="9"/>
      <c r="F11" s="9"/>
    </row>
    <row r="12" spans="1:9" x14ac:dyDescent="0.4">
      <c r="E12" s="9"/>
      <c r="F12" s="9"/>
    </row>
    <row r="13" spans="1:9" x14ac:dyDescent="0.4">
      <c r="E13" s="9"/>
      <c r="F13" s="9"/>
    </row>
    <row r="14" spans="1:9" x14ac:dyDescent="0.4">
      <c r="E14" s="9"/>
      <c r="F14" s="9"/>
    </row>
    <row r="15" spans="1:9" x14ac:dyDescent="0.4">
      <c r="E15" s="9"/>
      <c r="F15" s="9"/>
    </row>
    <row r="16" spans="1:9" x14ac:dyDescent="0.4">
      <c r="E16" s="9"/>
      <c r="F16" s="9"/>
    </row>
    <row r="17" spans="5:6" x14ac:dyDescent="0.4">
      <c r="E17" s="9"/>
      <c r="F17" s="9"/>
    </row>
    <row r="18" spans="5:6" x14ac:dyDescent="0.4">
      <c r="E18" s="9"/>
      <c r="F18" s="9"/>
    </row>
    <row r="19" spans="5:6" x14ac:dyDescent="0.4">
      <c r="E19" s="9"/>
      <c r="F19" s="9"/>
    </row>
    <row r="20" spans="5:6" x14ac:dyDescent="0.4">
      <c r="E20" s="9"/>
      <c r="F20" s="9"/>
    </row>
  </sheetData>
  <phoneticPr fontId="4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49" r:id="rId3" name="cmd대여">
          <controlPr defaultSize="0" autoLine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3" name="cmd대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458188-4B47-43E1-94E7-2B45D1604D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2026-10-04T13:37:14Z</dcterms:created>
  <dcterms:modified xsi:type="dcterms:W3CDTF">2026-10-04T14:04:48Z</dcterms:modified>
</cp:coreProperties>
</file>